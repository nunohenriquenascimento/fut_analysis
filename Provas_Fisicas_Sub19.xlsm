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erfil" sheetId="1" r:id="rId4"/>
    <sheet state="visible" name="Registo" sheetId="2" r:id="rId5"/>
    <sheet state="visible" name="Protocolo" sheetId="3" r:id="rId6"/>
  </sheets>
  <definedNames/>
  <calcPr/>
  <extLst>
    <ext uri="GoogleSheetsCustomDataVersion2">
      <go:sheetsCustomData xmlns:go="http://customooxmlschemas.google.com/" r:id="rId7" roundtripDataChecksum="1S+uQSope/XjAxUJC5wG9kTzmkuuSRwGd7QH/hDymgM="/>
    </ext>
  </extLst>
</workbook>
</file>

<file path=xl/sharedStrings.xml><?xml version="1.0" encoding="utf-8"?>
<sst xmlns="http://schemas.openxmlformats.org/spreadsheetml/2006/main" count="216" uniqueCount="161">
  <si>
    <t>Protocolo e equipa necessária</t>
  </si>
  <si>
    <t>Provas físicas Sub-19 — registo de campo</t>
  </si>
  <si>
    <t>Perfil físico consolidado — Sub-19</t>
  </si>
  <si>
    <t>Teste</t>
  </si>
  <si>
    <t>Pessoas mínimas</t>
  </si>
  <si>
    <t>Pessoas ideais</t>
  </si>
  <si>
    <t>Funções</t>
  </si>
  <si>
    <t>Tentativas</t>
  </si>
  <si>
    <t>Recuperação</t>
  </si>
  <si>
    <t>Unidade</t>
  </si>
  <si>
    <t>Cuidados principais</t>
  </si>
  <si>
    <t>Altura e peso</t>
  </si>
  <si>
    <t>Medição e registo</t>
  </si>
  <si>
    <t>1–2</t>
  </si>
  <si>
    <t>—</t>
  </si>
  <si>
    <t>cm / kg</t>
  </si>
  <si>
    <t>Sem calçado; balança em piso plano</t>
  </si>
  <si>
    <t>Salto horizontal</t>
  </si>
  <si>
    <t>Os resultados físicos indicam compatibilidades. O encaixe final deve ser cruzado com técnica, decisão e comportamento tático.</t>
  </si>
  <si>
    <t>Fiscal da linha e registo</t>
  </si>
  <si>
    <t>3</t>
  </si>
  <si>
    <t>60–90 s</t>
  </si>
  <si>
    <t>cm</t>
  </si>
  <si>
    <t>Pés juntos; medir do risco ao calcanhar mais recuado</t>
  </si>
  <si>
    <t>Sprint 5 / 10 / 30 m</t>
  </si>
  <si>
    <t>Starter; cronometristas nos 5, 10 e 30 m; registo; suplente/vídeo</t>
  </si>
  <si>
    <t>2</t>
  </si>
  <si>
    <t>3–4 min</t>
  </si>
  <si>
    <t>s</t>
  </si>
  <si>
    <t>Mesma posição inicial; não arredondar antes de registar</t>
  </si>
  <si>
    <t>Equipa</t>
  </si>
  <si>
    <t>505 direita e esquerda</t>
  </si>
  <si>
    <t>ID</t>
  </si>
  <si>
    <t>Cronometrista; fiscal da linha; registo</t>
  </si>
  <si>
    <t>2 por lado</t>
  </si>
  <si>
    <t>2–3 min</t>
  </si>
  <si>
    <t>Atleta</t>
  </si>
  <si>
    <t>Invalidar se não tocar/ultrapassar corretamente a linha</t>
  </si>
  <si>
    <t>Posição atual</t>
  </si>
  <si>
    <t>RSA 6 x 30 m</t>
  </si>
  <si>
    <t>Estado</t>
  </si>
  <si>
    <t>Altura (cm)</t>
  </si>
  <si>
    <t>Starter; cronometrista(s); registo/recuperação</t>
  </si>
  <si>
    <t>Peso (kg)</t>
  </si>
  <si>
    <t>6</t>
  </si>
  <si>
    <t>20 s entre sprints</t>
  </si>
  <si>
    <t>Melhor salto (cm)</t>
  </si>
  <si>
    <t>5 m (s)</t>
  </si>
  <si>
    <t>Usar contagem exata; registar todos os sprints</t>
  </si>
  <si>
    <t>10 m (s)</t>
  </si>
  <si>
    <t>Data</t>
  </si>
  <si>
    <t>30 m (s)</t>
  </si>
  <si>
    <t>Yo-Yo IR1</t>
  </si>
  <si>
    <t>10–30 m (s)</t>
  </si>
  <si>
    <t>505 dir. (s)</t>
  </si>
  <si>
    <t>Áudio/controlo; 2–3 observadores</t>
  </si>
  <si>
    <t>505 esq. (s)</t>
  </si>
  <si>
    <t>1</t>
  </si>
  <si>
    <t>Assimetria</t>
  </si>
  <si>
    <t>Teste final</t>
  </si>
  <si>
    <t>m + nível</t>
  </si>
  <si>
    <t>RSA melhor (s)</t>
  </si>
  <si>
    <t>Uma advertência; terminar na segunda falha</t>
  </si>
  <si>
    <t>RSA média (s)</t>
  </si>
  <si>
    <t>Quebra RSA</t>
  </si>
  <si>
    <t>Yo-Yo IR1 (m)</t>
  </si>
  <si>
    <t>Flexões e prancha</t>
  </si>
  <si>
    <t>Encaixe a testar</t>
  </si>
  <si>
    <t>Completude</t>
  </si>
  <si>
    <t>Local</t>
  </si>
  <si>
    <t>Responsável</t>
  </si>
  <si>
    <t>Amarelo = preencher no campo | Cinzento = cálculo automático</t>
  </si>
  <si>
    <t>Identificação</t>
  </si>
  <si>
    <t>Fiscal técnico e registo</t>
  </si>
  <si>
    <t>2 min</t>
  </si>
  <si>
    <t>rep / s</t>
  </si>
  <si>
    <t>Parar quando a técnica deixar de cumprir o padrão</t>
  </si>
  <si>
    <t>Configuração</t>
  </si>
  <si>
    <t>N.º</t>
  </si>
  <si>
    <t>Papel</t>
  </si>
  <si>
    <t>Aplicação</t>
  </si>
  <si>
    <t>Antropometria</t>
  </si>
  <si>
    <t>Salto horizontal (cm)</t>
  </si>
  <si>
    <t>Sprint — tentativa 1 (s)</t>
  </si>
  <si>
    <t>Equipa mínima</t>
  </si>
  <si>
    <t>Sprint — tentativa 2 (s)</t>
  </si>
  <si>
    <t>Sprint — melhores resultados</t>
  </si>
  <si>
    <t>1 starter/coordenação + 3 cronometristas</t>
  </si>
  <si>
    <t>505 — mudança de direção (s)</t>
  </si>
  <si>
    <t>Permite todos os testes de forma sequencial. O registo fica com o starter ou roda entre testes.</t>
  </si>
  <si>
    <t>RSA — 6 x 30 m (s)</t>
  </si>
  <si>
    <t>Equipa ideal</t>
  </si>
  <si>
    <t>Resistência e complementares</t>
  </si>
  <si>
    <t>Notas</t>
  </si>
  <si>
    <t>1 coordenador/registo + 1 starter + 3 cronometristas + 1 fiscal/suplente</t>
  </si>
  <si>
    <t>Melhor opção para splits 5/10/30 m, controlo técnico e confirmação dos valores.</t>
  </si>
  <si>
    <t>Estações em paralelo</t>
  </si>
  <si>
    <t>Equipas separadas para sprint, salto/505 e antropometria</t>
  </si>
  <si>
    <t>Só compensa se houver pouco tempo e espaço suficiente. Exige briefing e protocolo igual em todas as estações.</t>
  </si>
  <si>
    <t>Dorsal</t>
  </si>
  <si>
    <t>Pé dominante</t>
  </si>
  <si>
    <t>Ordem recomendada</t>
  </si>
  <si>
    <t>IMC</t>
  </si>
  <si>
    <t>Salto 1</t>
  </si>
  <si>
    <t>Salto 2</t>
  </si>
  <si>
    <t>Salto 3</t>
  </si>
  <si>
    <t>Melhor salto</t>
  </si>
  <si>
    <t>5 m</t>
  </si>
  <si>
    <t>10 m</t>
  </si>
  <si>
    <t>30 m</t>
  </si>
  <si>
    <t>1. Antropometria → 2. Salto → 3. Sprint → 4. 505 → 5. RSA → 6. Yo-Yo IR1 → 7. Complementares</t>
  </si>
  <si>
    <t>Melhor 5 m</t>
  </si>
  <si>
    <t>Melhor 10 m</t>
  </si>
  <si>
    <t>Melhor 30 m</t>
  </si>
  <si>
    <t>10–30 m</t>
  </si>
  <si>
    <t>Dir. 1</t>
  </si>
  <si>
    <t>Dir. 2</t>
  </si>
  <si>
    <t>Melhor dir.</t>
  </si>
  <si>
    <t>Esq. 1</t>
  </si>
  <si>
    <t>Esq. 2</t>
  </si>
  <si>
    <t>Melhor esq.</t>
  </si>
  <si>
    <t>Evitar treino intenso nas 24–48 h anteriores. Usar o mesmo piso, calçado, aquecimento, equipamento e critérios para todos.</t>
  </si>
  <si>
    <t>RSA 1</t>
  </si>
  <si>
    <t>RSA 2</t>
  </si>
  <si>
    <t>RSA 3</t>
  </si>
  <si>
    <t>RSA 4</t>
  </si>
  <si>
    <t>RSA 5</t>
  </si>
  <si>
    <t>RSA 6</t>
  </si>
  <si>
    <t>Melhor RSA</t>
  </si>
  <si>
    <t>Média RSA</t>
  </si>
  <si>
    <t>Nível final</t>
  </si>
  <si>
    <t>Flexões</t>
  </si>
  <si>
    <t>Prancha (s)</t>
  </si>
  <si>
    <t>RPE (0–10)</t>
  </si>
  <si>
    <t>Observações</t>
  </si>
  <si>
    <t>António</t>
  </si>
  <si>
    <t>GR</t>
  </si>
  <si>
    <t>Direito</t>
  </si>
  <si>
    <t>Apto</t>
  </si>
  <si>
    <t>Jorge</t>
  </si>
  <si>
    <t>Ala</t>
  </si>
  <si>
    <t>Batista</t>
  </si>
  <si>
    <t>DC</t>
  </si>
  <si>
    <t>Gui Neves</t>
  </si>
  <si>
    <t>Pitbull</t>
  </si>
  <si>
    <t>MDC</t>
  </si>
  <si>
    <t>Duarte</t>
  </si>
  <si>
    <t>Central</t>
  </si>
  <si>
    <t>Gaspar</t>
  </si>
  <si>
    <t>MC</t>
  </si>
  <si>
    <t>Esquerdo</t>
  </si>
  <si>
    <t>Osório</t>
  </si>
  <si>
    <t>PL</t>
  </si>
  <si>
    <t>Gongas</t>
  </si>
  <si>
    <t>Tó</t>
  </si>
  <si>
    <t>João</t>
  </si>
  <si>
    <t>Gonçalo</t>
  </si>
  <si>
    <t>Preto</t>
  </si>
  <si>
    <t>Martim</t>
  </si>
  <si>
    <t>Jajão</t>
  </si>
  <si>
    <t>Pitu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</si>
</sst>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/mm/yyyy"/>
    <numFmt numFmtId="165" formatCode="0.0"/>
    <numFmt numFmtId="166" formatCode="0.0%"/>
  </numFmts>
  <fonts count="10">
    <font>
      <sz val="11.0"/>
      <color rgb="FF000000"/>
      <name val="Carlito"/>
      <scheme val="minor"/>
    </font>
    <font>
      <b/>
      <sz val="15.0"/>
      <color rgb="FF17365D"/>
      <name val="Arial"/>
    </font>
    <font>
      <sz val="11.0"/>
      <color theme="1"/>
      <name val="Carlito"/>
    </font>
    <font>
      <b/>
      <sz val="10.0"/>
      <color rgb="FFFFFFFF"/>
      <name val="Arial"/>
    </font>
    <font>
      <sz val="10.0"/>
      <color rgb="FF1F2937"/>
      <name val="Arial"/>
    </font>
    <font>
      <i/>
      <sz val="9.0"/>
      <color rgb="FF5B6573"/>
      <name val="Arial"/>
    </font>
    <font>
      <b/>
      <sz val="10.0"/>
      <color rgb="FF1F2937"/>
      <name val="Arial"/>
    </font>
    <font>
      <sz val="10.0"/>
      <color theme="1"/>
      <name val="Arial"/>
    </font>
    <font>
      <b/>
      <sz val="11.0"/>
      <color rgb="FF17365D"/>
      <name val="Arial"/>
    </font>
    <font>
      <i/>
      <sz val="10.0"/>
      <color rgb="FF5B6573"/>
      <name val="Arial"/>
    </font>
  </fonts>
  <fills count="9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F3F6F9"/>
        <bgColor rgb="FFF3F6F9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  <fill>
      <patternFill patternType="solid">
        <fgColor rgb="FF2F75B5"/>
        <bgColor rgb="FF2F75B5"/>
      </patternFill>
    </fill>
    <fill>
      <patternFill patternType="solid">
        <fgColor rgb="FFEEF5FB"/>
        <bgColor rgb="FFEEF5FB"/>
      </patternFill>
    </fill>
    <fill>
      <patternFill patternType="solid">
        <fgColor rgb="FFE7E6E6"/>
        <bgColor rgb="FFE7E6E6"/>
      </patternFill>
    </fill>
  </fills>
  <borders count="15">
    <border/>
    <border>
      <bottom style="medium">
        <color rgb="FF17365D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bottom style="thin">
        <color rgb="FFDDE3E9"/>
      </bottom>
    </border>
    <border>
      <top style="thin">
        <color rgb="FFDDE3E9"/>
      </top>
      <bottom style="thin">
        <color rgb="FFDDE3E9"/>
      </bottom>
    </border>
    <border>
      <top style="thin">
        <color rgb="FFDDE3E9"/>
      </top>
      <bottom style="thin">
        <color rgb="FFB8C2CC"/>
      </bottom>
    </border>
    <border>
      <left style="thin">
        <color rgb="FF17365D"/>
      </left>
      <top style="thin">
        <color rgb="FF17365D"/>
      </top>
      <bottom style="thin">
        <color rgb="FF17365D"/>
      </bottom>
    </border>
    <border>
      <top style="thin">
        <color rgb="FF17365D"/>
      </top>
      <bottom style="thin">
        <color rgb="FF17365D"/>
      </bottom>
    </border>
    <border>
      <right style="thin">
        <color rgb="FF17365D"/>
      </right>
      <top style="thin">
        <color rgb="FF17365D"/>
      </top>
      <bottom style="thin">
        <color rgb="FF17365D"/>
      </bottom>
    </border>
    <border>
      <left style="thin">
        <color rgb="FF17365D"/>
      </left>
      <right style="thin">
        <color rgb="FF17365D"/>
      </right>
      <top style="thin">
        <color rgb="FF17365D"/>
      </top>
      <bottom style="thin">
        <color rgb="FF17365D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DDE3E9"/>
      </bottom>
    </border>
    <border>
      <left style="thin">
        <color rgb="FFFFFFFF"/>
      </left>
      <top style="thin">
        <color rgb="FFDDE3E9"/>
      </top>
      <bottom style="thin">
        <color rgb="FFDDE3E9"/>
      </bottom>
    </border>
    <border>
      <right style="thin">
        <color rgb="FFFFFFFF"/>
      </right>
      <top style="thin">
        <color rgb="FFDDE3E9"/>
      </top>
      <bottom style="thin">
        <color rgb="FFDDE3E9"/>
      </bottom>
    </border>
    <border>
      <left style="thin">
        <color rgb="FFFFFFFF"/>
      </left>
      <top style="thin">
        <color rgb="FFDDE3E9"/>
      </top>
      <bottom style="thin">
        <color rgb="FFB8C2CC"/>
      </bottom>
    </border>
    <border>
      <right style="thin">
        <color rgb="FFFFFFFF"/>
      </right>
      <top style="thin">
        <color rgb="FFDDE3E9"/>
      </top>
      <bottom style="thin">
        <color rgb="FFB8C2CC"/>
      </bottom>
    </border>
  </borders>
  <cellStyleXfs count="1">
    <xf borderId="0" fillId="0" fontId="0" numFmtId="0" applyAlignment="1" applyFont="1"/>
  </cellStyleXfs>
  <cellXfs count="73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1" fillId="0" fontId="2" numFmtId="0" xfId="0" applyBorder="1" applyFont="1"/>
    <xf borderId="2" fillId="2" fontId="3" numFmtId="0" xfId="0" applyAlignment="1" applyBorder="1" applyFill="1" applyFont="1">
      <alignment horizontal="center" shrinkToFit="0" vertical="center" wrapText="1"/>
    </xf>
    <xf borderId="3" fillId="3" fontId="4" numFmtId="0" xfId="0" applyAlignment="1" applyBorder="1" applyFill="1" applyFont="1">
      <alignment shrinkToFit="0" vertical="top" wrapText="1"/>
    </xf>
    <xf borderId="3" fillId="4" fontId="4" numFmtId="0" xfId="0" applyAlignment="1" applyBorder="1" applyFill="1" applyFont="1">
      <alignment shrinkToFit="0" vertical="top" wrapText="1"/>
    </xf>
    <xf borderId="4" fillId="3" fontId="4" numFmtId="0" xfId="0" applyAlignment="1" applyBorder="1" applyFill="1" applyFont="1">
      <alignment shrinkToFit="0" vertical="top" wrapText="1"/>
    </xf>
    <xf borderId="4" fillId="4" fontId="4" numFmtId="0" xfId="0" applyAlignment="1" applyBorder="1" applyFill="1" applyFont="1">
      <alignment shrinkToFit="0" vertical="top" wrapText="1"/>
    </xf>
    <xf borderId="0" fillId="0" fontId="5" numFmtId="0" xfId="0" applyFont="1"/>
    <xf borderId="0" fillId="0" fontId="6" numFmtId="0" xfId="0" applyAlignment="1" applyFont="1">
      <alignment vertical="center"/>
    </xf>
    <xf borderId="0" fillId="5" fontId="7" numFmtId="0" xfId="0" applyAlignment="1" applyFill="1" applyFont="1">
      <alignment vertical="center"/>
    </xf>
    <xf borderId="0" fillId="0" fontId="7" numFmtId="0" xfId="0" applyAlignment="1" applyFont="1">
      <alignment vertical="center"/>
    </xf>
    <xf borderId="0" fillId="5" fontId="7" numFmtId="164" xfId="0" applyAlignment="1" applyFill="1" applyFont="1" applyNumberFormat="1">
      <alignment vertical="center"/>
    </xf>
    <xf borderId="5" fillId="3" fontId="4" numFmtId="0" xfId="0" applyAlignment="1" applyBorder="1" applyFill="1" applyFont="1">
      <alignment shrinkToFit="0" vertical="top" wrapText="1"/>
    </xf>
    <xf borderId="5" fillId="4" fontId="4" numFmtId="0" xfId="0" applyAlignment="1" applyBorder="1" applyFill="1" applyFont="1">
      <alignment shrinkToFit="0" vertical="top" wrapText="1"/>
    </xf>
    <xf borderId="6" fillId="6" fontId="3" numFmtId="0" xfId="0" applyAlignment="1" applyBorder="1" applyFill="1" applyFont="1">
      <alignment vertical="center"/>
    </xf>
    <xf borderId="7" fillId="6" fontId="3" numFmtId="0" xfId="0" applyAlignment="1" applyBorder="1" applyFill="1" applyFont="1">
      <alignment vertical="center"/>
    </xf>
    <xf borderId="0" fillId="2" fontId="2" numFmtId="0" xfId="0" applyFill="1" applyFont="1"/>
    <xf borderId="8" fillId="6" fontId="3" numFmtId="0" xfId="0" applyAlignment="1" applyBorder="1" applyFill="1" applyFont="1">
      <alignment vertical="center"/>
    </xf>
    <xf borderId="3" fillId="0" fontId="4" numFmtId="0" xfId="0" applyAlignment="1" applyBorder="1" applyFont="1">
      <alignment shrinkToFit="0" vertical="top" wrapText="1"/>
    </xf>
    <xf borderId="4" fillId="0" fontId="4" numFmtId="0" xfId="0" applyAlignment="1" applyBorder="1" applyFont="1">
      <alignment shrinkToFit="0" vertical="top" wrapText="1"/>
    </xf>
    <xf borderId="9" fillId="6" fontId="3" numFmtId="0" xfId="0" applyAlignment="1" applyBorder="1" applyFill="1" applyFont="1">
      <alignment vertical="center"/>
    </xf>
    <xf borderId="3" fillId="3" fontId="4" numFmtId="0" xfId="0" applyBorder="1" applyFill="1" applyFont="1"/>
    <xf borderId="5" fillId="0" fontId="4" numFmtId="0" xfId="0" applyAlignment="1" applyBorder="1" applyFont="1">
      <alignment shrinkToFit="0" vertical="top" wrapText="1"/>
    </xf>
    <xf borderId="10" fillId="2" fontId="3" numFmtId="0" xfId="0" applyAlignment="1" applyBorder="1" applyFill="1" applyFont="1">
      <alignment horizontal="center" shrinkToFit="0" vertical="center" wrapText="1"/>
    </xf>
    <xf borderId="0" fillId="0" fontId="8" numFmtId="0" xfId="0" applyFont="1"/>
    <xf borderId="0" fillId="0" fontId="4" numFmtId="0" xfId="0" applyFont="1"/>
    <xf borderId="0" fillId="0" fontId="9" numFmtId="0" xfId="0" applyFont="1"/>
    <xf borderId="11" fillId="5" fontId="4" numFmtId="0" xfId="0" applyAlignment="1" applyBorder="1" applyFill="1" applyFont="1">
      <alignment vertical="center"/>
    </xf>
    <xf borderId="4" fillId="5" fontId="4" numFmtId="0" xfId="0" applyAlignment="1" applyBorder="1" applyFill="1" applyFont="1">
      <alignment readingOrder="0" vertical="center"/>
    </xf>
    <xf borderId="3" fillId="7" fontId="4" numFmtId="165" xfId="0" applyBorder="1" applyFill="1" applyFont="1" applyNumberFormat="1"/>
    <xf borderId="4" fillId="5" fontId="4" numFmtId="165" xfId="0" applyAlignment="1" applyBorder="1" applyFill="1" applyFont="1" applyNumberFormat="1">
      <alignment readingOrder="0" vertical="center"/>
    </xf>
    <xf borderId="3" fillId="7" fontId="4" numFmtId="1" xfId="0" applyBorder="1" applyFill="1" applyFont="1" applyNumberFormat="1"/>
    <xf borderId="3" fillId="7" fontId="4" numFmtId="2" xfId="0" applyBorder="1" applyFill="1" applyFont="1" applyNumberFormat="1"/>
    <xf borderId="4" fillId="8" fontId="4" numFmtId="165" xfId="0" applyAlignment="1" applyBorder="1" applyFill="1" applyFont="1" applyNumberFormat="1">
      <alignment vertical="center"/>
    </xf>
    <xf borderId="4" fillId="5" fontId="4" numFmtId="1" xfId="0" applyAlignment="1" applyBorder="1" applyFill="1" applyFont="1" applyNumberFormat="1">
      <alignment readingOrder="0" vertical="center"/>
    </xf>
    <xf borderId="4" fillId="8" fontId="4" numFmtId="1" xfId="0" applyAlignment="1" applyBorder="1" applyFill="1" applyFont="1" applyNumberFormat="1">
      <alignment vertical="center"/>
    </xf>
    <xf borderId="4" fillId="5" fontId="4" numFmtId="2" xfId="0" applyAlignment="1" applyBorder="1" applyFill="1" applyFont="1" applyNumberFormat="1">
      <alignment readingOrder="0" vertical="center"/>
    </xf>
    <xf borderId="4" fillId="8" fontId="4" numFmtId="2" xfId="0" applyAlignment="1" applyBorder="1" applyFill="1" applyFont="1" applyNumberFormat="1">
      <alignment vertical="center"/>
    </xf>
    <xf borderId="3" fillId="7" fontId="4" numFmtId="166" xfId="0" applyBorder="1" applyFill="1" applyFont="1" applyNumberFormat="1"/>
    <xf borderId="4" fillId="8" fontId="4" numFmtId="166" xfId="0" applyAlignment="1" applyBorder="1" applyFill="1" applyFont="1" applyNumberFormat="1">
      <alignment vertical="center"/>
    </xf>
    <xf borderId="3" fillId="7" fontId="4" numFmtId="0" xfId="0" applyBorder="1" applyFill="1" applyFont="1"/>
    <xf borderId="4" fillId="8" fontId="4" numFmtId="2" xfId="0" applyAlignment="1" applyBorder="1" applyFill="1" applyFont="1" applyNumberFormat="1">
      <alignment readingOrder="0" vertical="center"/>
    </xf>
    <xf borderId="3" fillId="7" fontId="4" numFmtId="9" xfId="0" applyBorder="1" applyFill="1" applyFont="1" applyNumberFormat="1"/>
    <xf borderId="4" fillId="3" fontId="4" numFmtId="0" xfId="0" applyBorder="1" applyFill="1" applyFont="1"/>
    <xf borderId="4" fillId="5" fontId="4" numFmtId="0" xfId="0" applyAlignment="1" applyBorder="1" applyFill="1" applyFont="1">
      <alignment vertical="center"/>
    </xf>
    <xf borderId="12" fillId="5" fontId="4" numFmtId="0" xfId="0" applyAlignment="1" applyBorder="1" applyFill="1" applyFont="1">
      <alignment vertical="center"/>
    </xf>
    <xf borderId="4" fillId="7" fontId="4" numFmtId="165" xfId="0" applyBorder="1" applyFill="1" applyFont="1" applyNumberFormat="1"/>
    <xf borderId="4" fillId="7" fontId="4" numFmtId="1" xfId="0" applyBorder="1" applyFill="1" applyFont="1" applyNumberFormat="1"/>
    <xf borderId="4" fillId="7" fontId="4" numFmtId="2" xfId="0" applyBorder="1" applyFill="1" applyFont="1" applyNumberFormat="1"/>
    <xf borderId="4" fillId="7" fontId="4" numFmtId="166" xfId="0" applyBorder="1" applyFill="1" applyFont="1" applyNumberFormat="1"/>
    <xf borderId="4" fillId="7" fontId="4" numFmtId="0" xfId="0" applyBorder="1" applyFill="1" applyFont="1"/>
    <xf borderId="4" fillId="7" fontId="4" numFmtId="9" xfId="0" applyBorder="1" applyFill="1" applyFont="1" applyNumberFormat="1"/>
    <xf borderId="4" fillId="5" fontId="4" numFmtId="165" xfId="0" applyAlignment="1" applyBorder="1" applyFill="1" applyFont="1" applyNumberFormat="1">
      <alignment vertical="center"/>
    </xf>
    <xf borderId="4" fillId="5" fontId="4" numFmtId="1" xfId="0" applyAlignment="1" applyBorder="1" applyFill="1" applyFont="1" applyNumberFormat="1">
      <alignment vertical="center"/>
    </xf>
    <xf borderId="4" fillId="5" fontId="4" numFmtId="2" xfId="0" applyAlignment="1" applyBorder="1" applyFill="1" applyFont="1" applyNumberFormat="1">
      <alignment vertical="center"/>
    </xf>
    <xf borderId="13" fillId="5" fontId="4" numFmtId="0" xfId="0" applyAlignment="1" applyBorder="1" applyFill="1" applyFont="1">
      <alignment vertical="center"/>
    </xf>
    <xf borderId="5" fillId="5" fontId="4" numFmtId="0" xfId="0" applyAlignment="1" applyBorder="1" applyFill="1" applyFont="1">
      <alignment vertical="center"/>
    </xf>
    <xf borderId="5" fillId="5" fontId="4" numFmtId="165" xfId="0" applyAlignment="1" applyBorder="1" applyFill="1" applyFont="1" applyNumberFormat="1">
      <alignment vertical="center"/>
    </xf>
    <xf borderId="5" fillId="8" fontId="4" numFmtId="165" xfId="0" applyAlignment="1" applyBorder="1" applyFill="1" applyFont="1" applyNumberFormat="1">
      <alignment vertical="center"/>
    </xf>
    <xf borderId="5" fillId="5" fontId="4" numFmtId="1" xfId="0" applyAlignment="1" applyBorder="1" applyFill="1" applyFont="1" applyNumberFormat="1">
      <alignment vertical="center"/>
    </xf>
    <xf borderId="5" fillId="8" fontId="4" numFmtId="1" xfId="0" applyAlignment="1" applyBorder="1" applyFill="1" applyFont="1" applyNumberFormat="1">
      <alignment vertical="center"/>
    </xf>
    <xf borderId="5" fillId="5" fontId="4" numFmtId="2" xfId="0" applyAlignment="1" applyBorder="1" applyFill="1" applyFont="1" applyNumberFormat="1">
      <alignment vertical="center"/>
    </xf>
    <xf borderId="5" fillId="8" fontId="4" numFmtId="2" xfId="0" applyAlignment="1" applyBorder="1" applyFill="1" applyFont="1" applyNumberFormat="1">
      <alignment vertical="center"/>
    </xf>
    <xf borderId="5" fillId="8" fontId="4" numFmtId="166" xfId="0" applyAlignment="1" applyBorder="1" applyFill="1" applyFont="1" applyNumberFormat="1">
      <alignment vertical="center"/>
    </xf>
    <xf borderId="14" fillId="5" fontId="4" numFmtId="0" xfId="0" applyAlignment="1" applyBorder="1" applyFill="1" applyFont="1">
      <alignment vertical="center"/>
    </xf>
    <xf borderId="5" fillId="3" fontId="4" numFmtId="0" xfId="0" applyBorder="1" applyFill="1" applyFont="1"/>
    <xf borderId="5" fillId="7" fontId="4" numFmtId="165" xfId="0" applyBorder="1" applyFill="1" applyFont="1" applyNumberFormat="1"/>
    <xf borderId="5" fillId="7" fontId="4" numFmtId="1" xfId="0" applyBorder="1" applyFill="1" applyFont="1" applyNumberFormat="1"/>
    <xf borderId="5" fillId="7" fontId="4" numFmtId="2" xfId="0" applyBorder="1" applyFill="1" applyFont="1" applyNumberFormat="1"/>
    <xf borderId="5" fillId="7" fontId="4" numFmtId="166" xfId="0" applyBorder="1" applyFill="1" applyFont="1" applyNumberFormat="1"/>
    <xf borderId="5" fillId="7" fontId="4" numFmtId="0" xfId="0" applyBorder="1" applyFill="1" applyFont="1"/>
    <xf borderId="5" fillId="7" fontId="4" numFmtId="9" xfId="0" applyBorder="1" applyFill="1" applyFont="1" applyNumberFormat="1"/>
  </cellXfs>
  <cellStyles count="1">
    <cellStyle xfId="0" name="Normal" builtinId="0"/>
  </cellStyles>
  <dxfs count="3">
    <dxf>
      <font>
        <b/>
        <color rgb="FFB91C1C"/>
      </font>
      <fill>
        <patternFill patternType="solid">
          <fgColor rgb="FFFCE8E6"/>
          <bgColor rgb="FFFCE8E6"/>
        </patternFill>
      </fill>
      <border/>
    </dxf>
    <dxf>
      <font>
        <b/>
        <color rgb="FF8A5A00"/>
      </font>
      <fill>
        <patternFill patternType="solid">
          <fgColor rgb="FFFFF4CC"/>
          <bgColor rgb="FFFFF4CC"/>
        </patternFill>
      </fill>
      <border/>
    </dxf>
    <dxf>
      <font>
        <b/>
        <color rgb="FF27632A"/>
      </font>
      <fill>
        <patternFill patternType="solid">
          <fgColor rgb="FFD9EAD3"/>
          <bgColor rgb="FFD9EAD3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65D"/>
    <pageSetUpPr/>
  </sheetPr>
  <sheetViews>
    <sheetView showGridLines="0" workbookViewId="0">
      <pane xSplit="2.0" ySplit="5.0" topLeftCell="C6" activePane="bottomRight" state="frozen"/>
      <selection activeCell="C1" sqref="C1" pane="topRight"/>
      <selection activeCell="A6" sqref="A6" pane="bottomLeft"/>
      <selection activeCell="C6" sqref="C6" pane="bottomRight"/>
    </sheetView>
  </sheetViews>
  <sheetFormatPr customHeight="1" defaultColWidth="12.63" defaultRowHeight="15.0"/>
  <cols>
    <col customWidth="1" min="1" max="1" width="5.0"/>
    <col customWidth="1" min="2" max="2" width="20.0"/>
    <col customWidth="1" min="3" max="4" width="13.0"/>
    <col customWidth="1" min="5" max="18" width="11.0"/>
    <col customWidth="1" min="19" max="19" width="16.0"/>
    <col customWidth="1" min="20" max="20" width="11.0"/>
    <col customWidth="1" min="21" max="26" width="8.63"/>
  </cols>
  <sheetData>
    <row r="2" ht="24.75" customHeight="1">
      <c r="A2" s="1" t="s">
        <v>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>
      <c r="A3" s="8" t="s">
        <v>18</v>
      </c>
    </row>
    <row r="5" ht="39.75" customHeight="1">
      <c r="A5" s="3" t="s">
        <v>32</v>
      </c>
      <c r="B5" s="3" t="s">
        <v>36</v>
      </c>
      <c r="C5" s="3" t="s">
        <v>38</v>
      </c>
      <c r="D5" s="3" t="s">
        <v>40</v>
      </c>
      <c r="E5" s="3" t="s">
        <v>41</v>
      </c>
      <c r="F5" s="3" t="s">
        <v>43</v>
      </c>
      <c r="G5" s="3" t="s">
        <v>46</v>
      </c>
      <c r="H5" s="3" t="s">
        <v>47</v>
      </c>
      <c r="I5" s="3" t="s">
        <v>49</v>
      </c>
      <c r="J5" s="3" t="s">
        <v>51</v>
      </c>
      <c r="K5" s="3" t="s">
        <v>53</v>
      </c>
      <c r="L5" s="3" t="s">
        <v>54</v>
      </c>
      <c r="M5" s="3" t="s">
        <v>56</v>
      </c>
      <c r="N5" s="3" t="s">
        <v>58</v>
      </c>
      <c r="O5" s="3" t="s">
        <v>61</v>
      </c>
      <c r="P5" s="3" t="s">
        <v>63</v>
      </c>
      <c r="Q5" s="3" t="s">
        <v>64</v>
      </c>
      <c r="R5" s="3" t="s">
        <v>65</v>
      </c>
      <c r="S5" s="3" t="s">
        <v>67</v>
      </c>
      <c r="T5" s="3" t="s">
        <v>68</v>
      </c>
    </row>
    <row r="6" ht="21.75" customHeight="1">
      <c r="A6" s="22">
        <f>IF(Registo!B7="","",Registo!A7)</f>
        <v>1</v>
      </c>
      <c r="B6" s="22" t="str">
        <f>IF(Registo!B7="","",Registo!B7)</f>
        <v>António</v>
      </c>
      <c r="C6" s="22" t="str">
        <f>IF(Registo!B7="","",Registo!D7)</f>
        <v>GR</v>
      </c>
      <c r="D6" s="22" t="str">
        <f>IF(Registo!B7="","",Registo!F7)</f>
        <v>Apto</v>
      </c>
      <c r="E6" s="30">
        <f>IF(Registo!B7="","",Registo!G7)</f>
        <v>174</v>
      </c>
      <c r="F6" s="30">
        <f>IF(Registo!B7="","",Registo!H7)</f>
        <v>59.2</v>
      </c>
      <c r="G6" s="32">
        <f>IF(Registo!B7="","",Registo!M7)</f>
        <v>234</v>
      </c>
      <c r="H6" s="33">
        <f>IF(Registo!B7="","",Registo!T7)</f>
        <v>1.2</v>
      </c>
      <c r="I6" s="33">
        <f>IF(Registo!B7="","",Registo!U7)</f>
        <v>2.25</v>
      </c>
      <c r="J6" s="33">
        <f>IF(Registo!B7="","",Registo!V7)</f>
        <v>4.78</v>
      </c>
      <c r="K6" s="33">
        <f>IF(Registo!B7="","",Registo!W7)</f>
        <v>2.53</v>
      </c>
      <c r="L6" s="33">
        <f>IF(Registo!B7="","",Registo!Z7)</f>
        <v>2.63</v>
      </c>
      <c r="M6" s="33">
        <f>IF(Registo!B7="","",Registo!AC7)</f>
        <v>2.61</v>
      </c>
      <c r="N6" s="39">
        <f>IF(Registo!B7="","",Registo!AD7)</f>
        <v>0.007662835249</v>
      </c>
      <c r="O6" s="33">
        <f>IF(Registo!B7="","",Registo!AK7)</f>
        <v>4.75</v>
      </c>
      <c r="P6" s="33">
        <f>IF(Registo!B7="","",Registo!AL7)</f>
        <v>5.206666667</v>
      </c>
      <c r="Q6" s="39">
        <f>IF(Registo!B7="","",Registo!AM7)</f>
        <v>0.09614035088</v>
      </c>
      <c r="R6" s="32">
        <f>IF(Registo!B7="","",Registo!AN7)</f>
        <v>800</v>
      </c>
      <c r="S6" s="41" t="str">
        <f>IF(Registo!B7="","",Registo!AS7)</f>
        <v>GR</v>
      </c>
      <c r="T6" s="43">
        <f t="shared" ref="T6:T26" si="1">IF(B6="","",COUNT(E6:R6)/14)</f>
        <v>1</v>
      </c>
    </row>
    <row r="7" ht="21.75" customHeight="1">
      <c r="A7" s="44">
        <f>IF(Registo!B8="","",Registo!A8)</f>
        <v>2</v>
      </c>
      <c r="B7" s="44" t="str">
        <f>IF(Registo!B8="","",Registo!B8)</f>
        <v>Jorge</v>
      </c>
      <c r="C7" s="44" t="str">
        <f>IF(Registo!B8="","",Registo!D8)</f>
        <v>Ala</v>
      </c>
      <c r="D7" s="44" t="str">
        <f>IF(Registo!B8="","",Registo!F8)</f>
        <v>Apto</v>
      </c>
      <c r="E7" s="47">
        <f>IF(Registo!B8="","",Registo!G8)</f>
        <v>167</v>
      </c>
      <c r="F7" s="47">
        <f>IF(Registo!B8="","",Registo!H8)</f>
        <v>50.2</v>
      </c>
      <c r="G7" s="48">
        <f>IF(Registo!B8="","",Registo!M8)</f>
        <v>210</v>
      </c>
      <c r="H7" s="49">
        <f>IF(Registo!B8="","",Registo!T8)</f>
        <v>1.29</v>
      </c>
      <c r="I7" s="49">
        <f>IF(Registo!B8="","",Registo!U8)</f>
        <v>2.36</v>
      </c>
      <c r="J7" s="49">
        <f>IF(Registo!B8="","",Registo!V8)</f>
        <v>5.03</v>
      </c>
      <c r="K7" s="49">
        <f>IF(Registo!B8="","",Registo!W8)</f>
        <v>2.67</v>
      </c>
      <c r="L7" s="49">
        <f>IF(Registo!B8="","",Registo!Z8)</f>
        <v>2.75</v>
      </c>
      <c r="M7" s="49">
        <f>IF(Registo!B8="","",Registo!AC8)</f>
        <v>2.74</v>
      </c>
      <c r="N7" s="50">
        <f>IF(Registo!B8="","",Registo!AD8)</f>
        <v>0.003649635036</v>
      </c>
      <c r="O7" s="49">
        <f>IF(Registo!B8="","",Registo!AK8)</f>
        <v>4.44</v>
      </c>
      <c r="P7" s="49">
        <f>IF(Registo!B8="","",Registo!AL8)</f>
        <v>5.751666667</v>
      </c>
      <c r="Q7" s="50">
        <f>IF(Registo!B8="","",Registo!AM8)</f>
        <v>0.2954204204</v>
      </c>
      <c r="R7" s="48">
        <f>IF(Registo!B8="","",Registo!AN8)</f>
        <v>540</v>
      </c>
      <c r="S7" s="51" t="str">
        <f>IF(Registo!B8="","",Registo!AS8)</f>
        <v/>
      </c>
      <c r="T7" s="52">
        <f t="shared" si="1"/>
        <v>1</v>
      </c>
    </row>
    <row r="8" ht="21.75" customHeight="1">
      <c r="A8" s="44">
        <f>IF(Registo!B9="","",Registo!A9)</f>
        <v>3</v>
      </c>
      <c r="B8" s="44" t="str">
        <f>IF(Registo!B9="","",Registo!B9)</f>
        <v>Batista</v>
      </c>
      <c r="C8" s="44" t="str">
        <f>IF(Registo!B9="","",Registo!D9)</f>
        <v>DC</v>
      </c>
      <c r="D8" s="44" t="str">
        <f>IF(Registo!B9="","",Registo!F9)</f>
        <v>Apto</v>
      </c>
      <c r="E8" s="47">
        <f>IF(Registo!B9="","",Registo!G9)</f>
        <v>175</v>
      </c>
      <c r="F8" s="47">
        <f>IF(Registo!B9="","",Registo!H9)</f>
        <v>76.1</v>
      </c>
      <c r="G8" s="48">
        <f>IF(Registo!B9="","",Registo!M9)</f>
        <v>226</v>
      </c>
      <c r="H8" s="49">
        <f>IF(Registo!B9="","",Registo!T9)</f>
        <v>1.23</v>
      </c>
      <c r="I8" s="49">
        <f>IF(Registo!B9="","",Registo!U9)</f>
        <v>2.34</v>
      </c>
      <c r="J8" s="49">
        <f>IF(Registo!B9="","",Registo!V9)</f>
        <v>4.56</v>
      </c>
      <c r="K8" s="49">
        <f>IF(Registo!B9="","",Registo!W9)</f>
        <v>1.98</v>
      </c>
      <c r="L8" s="49">
        <f>IF(Registo!B9="","",Registo!Z9)</f>
        <v>2.7</v>
      </c>
      <c r="M8" s="49">
        <f>IF(Registo!B9="","",Registo!AC9)</f>
        <v>2.86</v>
      </c>
      <c r="N8" s="50">
        <f>IF(Registo!B9="","",Registo!AD9)</f>
        <v>0.05925925926</v>
      </c>
      <c r="O8" s="49">
        <f>IF(Registo!B9="","",Registo!AK9)</f>
        <v>4.56</v>
      </c>
      <c r="P8" s="49">
        <f>IF(Registo!B9="","",Registo!AL9)</f>
        <v>4.891666667</v>
      </c>
      <c r="Q8" s="50">
        <f>IF(Registo!B9="","",Registo!AM9)</f>
        <v>0.07273391813</v>
      </c>
      <c r="R8" s="48">
        <f>IF(Registo!B9="","",Registo!AN9)</f>
        <v>640</v>
      </c>
      <c r="S8" s="51" t="str">
        <f>IF(Registo!B9="","",Registo!AS9)</f>
        <v/>
      </c>
      <c r="T8" s="52">
        <f t="shared" si="1"/>
        <v>1</v>
      </c>
    </row>
    <row r="9" ht="21.75" customHeight="1">
      <c r="A9" s="44">
        <f>IF(Registo!B10="","",Registo!A10)</f>
        <v>4</v>
      </c>
      <c r="B9" s="44" t="str">
        <f>IF(Registo!B10="","",Registo!B10)</f>
        <v>Gui Neves</v>
      </c>
      <c r="C9" s="44" t="str">
        <f>IF(Registo!B10="","",Registo!D10)</f>
        <v>Ala</v>
      </c>
      <c r="D9" s="44" t="str">
        <f>IF(Registo!B10="","",Registo!F10)</f>
        <v>Apto</v>
      </c>
      <c r="E9" s="47">
        <f>IF(Registo!B10="","",Registo!G10)</f>
        <v>182</v>
      </c>
      <c r="F9" s="47">
        <f>IF(Registo!B10="","",Registo!H10)</f>
        <v>65.6</v>
      </c>
      <c r="G9" s="48">
        <f>IF(Registo!B10="","",Registo!M10)</f>
        <v>219</v>
      </c>
      <c r="H9" s="49">
        <f>IF(Registo!B10="","",Registo!T10)</f>
        <v>1.2</v>
      </c>
      <c r="I9" s="49">
        <f>IF(Registo!B10="","",Registo!U10)</f>
        <v>2.03</v>
      </c>
      <c r="J9" s="49">
        <f>IF(Registo!B10="","",Registo!V10)</f>
        <v>4.91</v>
      </c>
      <c r="K9" s="49">
        <f>IF(Registo!B10="","",Registo!W10)</f>
        <v>2.78</v>
      </c>
      <c r="L9" s="49">
        <f>IF(Registo!B10="","",Registo!Z10)</f>
        <v>2.2</v>
      </c>
      <c r="M9" s="49">
        <f>IF(Registo!B10="","",Registo!AC10)</f>
        <v>2.63</v>
      </c>
      <c r="N9" s="50">
        <f>IF(Registo!B10="","",Registo!AD10)</f>
        <v>0.1954545455</v>
      </c>
      <c r="O9" s="49">
        <f>IF(Registo!B10="","",Registo!AK10)</f>
        <v>4.5</v>
      </c>
      <c r="P9" s="49">
        <f>IF(Registo!B10="","",Registo!AL10)</f>
        <v>4.976666667</v>
      </c>
      <c r="Q9" s="50">
        <f>IF(Registo!B10="","",Registo!AM10)</f>
        <v>0.1059259259</v>
      </c>
      <c r="R9" s="48">
        <f>IF(Registo!B10="","",Registo!AN10)</f>
        <v>480</v>
      </c>
      <c r="S9" s="51" t="str">
        <f>IF(Registo!B10="","",Registo!AS10)</f>
        <v/>
      </c>
      <c r="T9" s="52">
        <f t="shared" si="1"/>
        <v>1</v>
      </c>
    </row>
    <row r="10" ht="21.75" customHeight="1">
      <c r="A10" s="44">
        <f>IF(Registo!B11="","",Registo!A11)</f>
        <v>5</v>
      </c>
      <c r="B10" s="44" t="str">
        <f>IF(Registo!B11="","",Registo!B11)</f>
        <v>Pitbull</v>
      </c>
      <c r="C10" s="44" t="str">
        <f>IF(Registo!B11="","",Registo!D11)</f>
        <v>MDC</v>
      </c>
      <c r="D10" s="44" t="str">
        <f>IF(Registo!B11="","",Registo!F11)</f>
        <v>Apto</v>
      </c>
      <c r="E10" s="47">
        <f>IF(Registo!B11="","",Registo!G11)</f>
        <v>171</v>
      </c>
      <c r="F10" s="47">
        <f>IF(Registo!B11="","",Registo!H11)</f>
        <v>83.8</v>
      </c>
      <c r="G10" s="48">
        <f>IF(Registo!B11="","",Registo!M11)</f>
        <v>231</v>
      </c>
      <c r="H10" s="49">
        <f>IF(Registo!B11="","",Registo!T11)</f>
        <v>1.21</v>
      </c>
      <c r="I10" s="49">
        <f>IF(Registo!B11="","",Registo!U11)</f>
        <v>2.21</v>
      </c>
      <c r="J10" s="49">
        <f>IF(Registo!B11="","",Registo!V11)</f>
        <v>4.69</v>
      </c>
      <c r="K10" s="49">
        <f>IF(Registo!B11="","",Registo!W11)</f>
        <v>2.31</v>
      </c>
      <c r="L10" s="49">
        <f>IF(Registo!B11="","",Registo!Z11)</f>
        <v>2.73</v>
      </c>
      <c r="M10" s="49">
        <f>IF(Registo!B11="","",Registo!AC11)</f>
        <v>2.73</v>
      </c>
      <c r="N10" s="50">
        <f>IF(Registo!B11="","",Registo!AD11)</f>
        <v>0</v>
      </c>
      <c r="O10" s="49">
        <f>IF(Registo!B11="","",Registo!AK11)</f>
        <v>4.53</v>
      </c>
      <c r="P10" s="49">
        <f>IF(Registo!B11="","",Registo!AL11)</f>
        <v>4.863333333</v>
      </c>
      <c r="Q10" s="50">
        <f>IF(Registo!B11="","",Registo!AM11)</f>
        <v>0.07358351729</v>
      </c>
      <c r="R10" s="48">
        <f>IF(Registo!B11="","",Registo!AN11)</f>
        <v>600</v>
      </c>
      <c r="S10" s="51" t="str">
        <f>IF(Registo!B11="","",Registo!AS11)</f>
        <v/>
      </c>
      <c r="T10" s="52">
        <f t="shared" si="1"/>
        <v>1</v>
      </c>
    </row>
    <row r="11" ht="21.75" customHeight="1">
      <c r="A11" s="44">
        <f>IF(Registo!B12="","",Registo!A12)</f>
        <v>6</v>
      </c>
      <c r="B11" s="44" t="str">
        <f>IF(Registo!B12="","",Registo!B12)</f>
        <v>Duarte</v>
      </c>
      <c r="C11" s="44" t="str">
        <f>IF(Registo!B12="","",Registo!D12)</f>
        <v>Central</v>
      </c>
      <c r="D11" s="44" t="str">
        <f>IF(Registo!B12="","",Registo!F12)</f>
        <v>Apto</v>
      </c>
      <c r="E11" s="47">
        <f>IF(Registo!B12="","",Registo!G12)</f>
        <v>181</v>
      </c>
      <c r="F11" s="47">
        <f>IF(Registo!B12="","",Registo!H12)</f>
        <v>71.2</v>
      </c>
      <c r="G11" s="48">
        <f>IF(Registo!B12="","",Registo!M12)</f>
        <v>244</v>
      </c>
      <c r="H11" s="49">
        <f>IF(Registo!B12="","",Registo!T12)</f>
        <v>1.2</v>
      </c>
      <c r="I11" s="49">
        <f>IF(Registo!B12="","",Registo!U12)</f>
        <v>2.06</v>
      </c>
      <c r="J11" s="49">
        <f>IF(Registo!B12="","",Registo!V12)</f>
        <v>4.66</v>
      </c>
      <c r="K11" s="49">
        <f>IF(Registo!B12="","",Registo!W12)</f>
        <v>2.35</v>
      </c>
      <c r="L11" s="49">
        <f>IF(Registo!B12="","",Registo!Z12)</f>
        <v>1.98</v>
      </c>
      <c r="M11" s="49">
        <f>IF(Registo!B12="","",Registo!AC12)</f>
        <v>2.3</v>
      </c>
      <c r="N11" s="50">
        <f>IF(Registo!B12="","",Registo!AD12)</f>
        <v>0.1616161616</v>
      </c>
      <c r="O11" s="49">
        <f>IF(Registo!B12="","",Registo!AK12)</f>
        <v>4.47</v>
      </c>
      <c r="P11" s="49">
        <f>IF(Registo!B12="","",Registo!AL12)</f>
        <v>4.801666667</v>
      </c>
      <c r="Q11" s="50">
        <f>IF(Registo!B12="","",Registo!AM12)</f>
        <v>0.07419835943</v>
      </c>
      <c r="R11" s="48">
        <f>IF(Registo!B12="","",Registo!AN12)</f>
        <v>680</v>
      </c>
      <c r="S11" s="51" t="str">
        <f>IF(Registo!B12="","",Registo!AS12)</f>
        <v/>
      </c>
      <c r="T11" s="52">
        <f t="shared" si="1"/>
        <v>1</v>
      </c>
    </row>
    <row r="12" ht="21.75" customHeight="1">
      <c r="A12" s="44">
        <f>IF(Registo!B13="","",Registo!A13)</f>
        <v>7</v>
      </c>
      <c r="B12" s="44" t="str">
        <f>IF(Registo!B13="","",Registo!B13)</f>
        <v>Gaspar</v>
      </c>
      <c r="C12" s="44" t="str">
        <f>IF(Registo!B13="","",Registo!D13)</f>
        <v>MC</v>
      </c>
      <c r="D12" s="44" t="str">
        <f>IF(Registo!B13="","",Registo!F13)</f>
        <v>Apto</v>
      </c>
      <c r="E12" s="47">
        <f>IF(Registo!B13="","",Registo!G13)</f>
        <v>180</v>
      </c>
      <c r="F12" s="47">
        <f>IF(Registo!B13="","",Registo!H13)</f>
        <v>73.8</v>
      </c>
      <c r="G12" s="48">
        <f>IF(Registo!B13="","",Registo!M13)</f>
        <v>182</v>
      </c>
      <c r="H12" s="49">
        <f>IF(Registo!B13="","",Registo!T13)</f>
        <v>1.31</v>
      </c>
      <c r="I12" s="49">
        <f>IF(Registo!B13="","",Registo!U13)</f>
        <v>2.12</v>
      </c>
      <c r="J12" s="49">
        <f>IF(Registo!B13="","",Registo!V13)</f>
        <v>5.19</v>
      </c>
      <c r="K12" s="49">
        <f>IF(Registo!B13="","",Registo!W13)</f>
        <v>2.98</v>
      </c>
      <c r="L12" s="49">
        <f>IF(Registo!B13="","",Registo!Z13)</f>
        <v>2.84</v>
      </c>
      <c r="M12" s="49">
        <f>IF(Registo!B13="","",Registo!AC13)</f>
        <v>2.89</v>
      </c>
      <c r="N12" s="50">
        <f>IF(Registo!B13="","",Registo!AD13)</f>
        <v>0.0176056338</v>
      </c>
      <c r="O12" s="49">
        <f>IF(Registo!B13="","",Registo!AK13)</f>
        <v>4.95</v>
      </c>
      <c r="P12" s="49">
        <f>IF(Registo!B13="","",Registo!AL13)</f>
        <v>5.288333333</v>
      </c>
      <c r="Q12" s="50">
        <f>IF(Registo!B13="","",Registo!AM13)</f>
        <v>0.06835016835</v>
      </c>
      <c r="R12" s="48">
        <f>IF(Registo!B13="","",Registo!AN13)</f>
        <v>360</v>
      </c>
      <c r="S12" s="51" t="str">
        <f>IF(Registo!B13="","",Registo!AS13)</f>
        <v/>
      </c>
      <c r="T12" s="52">
        <f t="shared" si="1"/>
        <v>1</v>
      </c>
    </row>
    <row r="13" ht="21.75" customHeight="1">
      <c r="A13" s="44">
        <f>IF(Registo!B14="","",Registo!A14)</f>
        <v>8</v>
      </c>
      <c r="B13" s="44" t="str">
        <f>IF(Registo!B14="","",Registo!B14)</f>
        <v>Osório</v>
      </c>
      <c r="C13" s="44" t="str">
        <f>IF(Registo!B14="","",Registo!D14)</f>
        <v>PL</v>
      </c>
      <c r="D13" s="44" t="str">
        <f>IF(Registo!B14="","",Registo!F14)</f>
        <v>Apto</v>
      </c>
      <c r="E13" s="47">
        <f>IF(Registo!B14="","",Registo!G14)</f>
        <v>174</v>
      </c>
      <c r="F13" s="47">
        <f>IF(Registo!B14="","",Registo!H14)</f>
        <v>75.1</v>
      </c>
      <c r="G13" s="48">
        <f>IF(Registo!B14="","",Registo!M14)</f>
        <v>212</v>
      </c>
      <c r="H13" s="49">
        <f>IF(Registo!B14="","",Registo!T14)</f>
        <v>0.98</v>
      </c>
      <c r="I13" s="49">
        <f>IF(Registo!B14="","",Registo!U14)</f>
        <v>2.08</v>
      </c>
      <c r="J13" s="49">
        <f>IF(Registo!B14="","",Registo!V14)</f>
        <v>4.25</v>
      </c>
      <c r="K13" s="49">
        <f>IF(Registo!B14="","",Registo!W14)</f>
        <v>2.05</v>
      </c>
      <c r="L13" s="49">
        <f>IF(Registo!B14="","",Registo!Z14)</f>
        <v>2.6</v>
      </c>
      <c r="M13" s="49">
        <f>IF(Registo!B14="","",Registo!AC14)</f>
        <v>2.97</v>
      </c>
      <c r="N13" s="50">
        <f>IF(Registo!B14="","",Registo!AD14)</f>
        <v>0.1423076923</v>
      </c>
      <c r="O13" s="49">
        <f>IF(Registo!B14="","",Registo!AK14)</f>
        <v>4.84</v>
      </c>
      <c r="P13" s="49">
        <f>IF(Registo!B14="","",Registo!AL14)</f>
        <v>5.098333333</v>
      </c>
      <c r="Q13" s="50">
        <f>IF(Registo!B14="","",Registo!AM14)</f>
        <v>0.05337465565</v>
      </c>
      <c r="R13" s="48">
        <f>IF(Registo!B14="","",Registo!AN14)</f>
        <v>360</v>
      </c>
      <c r="S13" s="51" t="str">
        <f>IF(Registo!B14="","",Registo!AS14)</f>
        <v/>
      </c>
      <c r="T13" s="52">
        <f t="shared" si="1"/>
        <v>1</v>
      </c>
    </row>
    <row r="14" ht="21.75" customHeight="1">
      <c r="A14" s="44">
        <f>IF(Registo!B15="","",Registo!A15)</f>
        <v>9</v>
      </c>
      <c r="B14" s="44" t="str">
        <f>IF(Registo!B15="","",Registo!B15)</f>
        <v>Gongas</v>
      </c>
      <c r="C14" s="44" t="str">
        <f>IF(Registo!B15="","",Registo!D15)</f>
        <v>Ala</v>
      </c>
      <c r="D14" s="44" t="str">
        <f>IF(Registo!B15="","",Registo!F15)</f>
        <v>Apto</v>
      </c>
      <c r="E14" s="47">
        <f>IF(Registo!B15="","",Registo!G15)</f>
        <v>152</v>
      </c>
      <c r="F14" s="47">
        <f>IF(Registo!B15="","",Registo!H15)</f>
        <v>47.8</v>
      </c>
      <c r="G14" s="48">
        <f>IF(Registo!B15="","",Registo!M15)</f>
        <v>119</v>
      </c>
      <c r="H14" s="49">
        <f>IF(Registo!B15="","",Registo!T15)</f>
        <v>1.46</v>
      </c>
      <c r="I14" s="49">
        <f>IF(Registo!B15="","",Registo!U15)</f>
        <v>2.53</v>
      </c>
      <c r="J14" s="49">
        <f>IF(Registo!B15="","",Registo!V15)</f>
        <v>5.91</v>
      </c>
      <c r="K14" s="49">
        <f>IF(Registo!B15="","",Registo!W15)</f>
        <v>3.15</v>
      </c>
      <c r="L14" s="49">
        <f>IF(Registo!B15="","",Registo!Z15)</f>
        <v>3.03</v>
      </c>
      <c r="M14" s="49">
        <f>IF(Registo!B15="","",Registo!AC15)</f>
        <v>3.2</v>
      </c>
      <c r="N14" s="50">
        <f>IF(Registo!B15="","",Registo!AD15)</f>
        <v>0.05610561056</v>
      </c>
      <c r="O14" s="49">
        <f>IF(Registo!B15="","",Registo!AK15)</f>
        <v>5.72</v>
      </c>
      <c r="P14" s="49">
        <f>IF(Registo!B15="","",Registo!AL15)</f>
        <v>6.071666667</v>
      </c>
      <c r="Q14" s="50">
        <f>IF(Registo!B15="","",Registo!AM15)</f>
        <v>0.06148018648</v>
      </c>
      <c r="R14" s="48">
        <f>IF(Registo!B15="","",Registo!AN15)</f>
        <v>240</v>
      </c>
      <c r="S14" s="51" t="str">
        <f>IF(Registo!B15="","",Registo!AS15)</f>
        <v/>
      </c>
      <c r="T14" s="52">
        <f t="shared" si="1"/>
        <v>1</v>
      </c>
    </row>
    <row r="15" ht="21.75" customHeight="1">
      <c r="A15" s="44">
        <f>IF(Registo!B16="","",Registo!A16)</f>
        <v>10</v>
      </c>
      <c r="B15" s="44" t="str">
        <f>IF(Registo!B16="","",Registo!B16)</f>
        <v>Tó</v>
      </c>
      <c r="C15" s="44" t="str">
        <f>IF(Registo!B16="","",Registo!D16)</f>
        <v>Ala</v>
      </c>
      <c r="D15" s="44" t="str">
        <f>IF(Registo!B16="","",Registo!F16)</f>
        <v>Apto</v>
      </c>
      <c r="E15" s="47">
        <f>IF(Registo!B16="","",Registo!G16)</f>
        <v>166</v>
      </c>
      <c r="F15" s="47">
        <f>IF(Registo!B16="","",Registo!H16)</f>
        <v>50.5</v>
      </c>
      <c r="G15" s="48">
        <f>IF(Registo!B16="","",Registo!M16)</f>
        <v>208</v>
      </c>
      <c r="H15" s="49">
        <f>IF(Registo!B16="","",Registo!T16)</f>
        <v>1.29</v>
      </c>
      <c r="I15" s="49">
        <f>IF(Registo!B16="","",Registo!U16)</f>
        <v>2.31</v>
      </c>
      <c r="J15" s="49">
        <f>IF(Registo!B16="","",Registo!V16)</f>
        <v>5.09</v>
      </c>
      <c r="K15" s="49">
        <f>IF(Registo!B16="","",Registo!W16)</f>
        <v>2.72</v>
      </c>
      <c r="L15" s="49">
        <f>IF(Registo!B16="","",Registo!Z16)</f>
        <v>2.73</v>
      </c>
      <c r="M15" s="49">
        <f>IF(Registo!B16="","",Registo!AC16)</f>
        <v>2.68</v>
      </c>
      <c r="N15" s="50">
        <f>IF(Registo!B16="","",Registo!AD16)</f>
        <v>0.01865671642</v>
      </c>
      <c r="O15" s="49">
        <f>IF(Registo!B16="","",Registo!AK16)</f>
        <v>4.29</v>
      </c>
      <c r="P15" s="49">
        <f>IF(Registo!B16="","",Registo!AL16)</f>
        <v>4.786666667</v>
      </c>
      <c r="Q15" s="50">
        <f>IF(Registo!B16="","",Registo!AM16)</f>
        <v>0.1157731158</v>
      </c>
      <c r="R15" s="48">
        <f>IF(Registo!B16="","",Registo!AN16)</f>
        <v>400</v>
      </c>
      <c r="S15" s="51" t="str">
        <f>IF(Registo!B16="","",Registo!AS16)</f>
        <v/>
      </c>
      <c r="T15" s="52">
        <f t="shared" si="1"/>
        <v>1</v>
      </c>
    </row>
    <row r="16" ht="21.75" customHeight="1">
      <c r="A16" s="44">
        <f>IF(Registo!B17="","",Registo!A17)</f>
        <v>11</v>
      </c>
      <c r="B16" s="44" t="str">
        <f>IF(Registo!B17="","",Registo!B17)</f>
        <v>João</v>
      </c>
      <c r="C16" s="44" t="str">
        <f>IF(Registo!B17="","",Registo!D17)</f>
        <v>DC</v>
      </c>
      <c r="D16" s="44" t="str">
        <f>IF(Registo!B17="","",Registo!F17)</f>
        <v>Apto</v>
      </c>
      <c r="E16" s="47">
        <f>IF(Registo!B17="","",Registo!G17)</f>
        <v>183</v>
      </c>
      <c r="F16" s="47">
        <f>IF(Registo!B17="","",Registo!H17)</f>
        <v>71.7</v>
      </c>
      <c r="G16" s="48">
        <f>IF(Registo!B17="","",Registo!M17)</f>
        <v>177</v>
      </c>
      <c r="H16" s="49">
        <f>IF(Registo!B17="","",Registo!T17)</f>
        <v>1.66</v>
      </c>
      <c r="I16" s="49">
        <f>IF(Registo!B17="","",Registo!U17)</f>
        <v>2.58</v>
      </c>
      <c r="J16" s="49">
        <f>IF(Registo!B17="","",Registo!V17)</f>
        <v>5.5</v>
      </c>
      <c r="K16" s="49">
        <f>IF(Registo!B17="","",Registo!W17)</f>
        <v>2.8</v>
      </c>
      <c r="L16" s="49">
        <f>IF(Registo!B17="","",Registo!Z17)</f>
        <v>2.92</v>
      </c>
      <c r="M16" s="49">
        <f>IF(Registo!B17="","",Registo!AC17)</f>
        <v>3.03</v>
      </c>
      <c r="N16" s="50">
        <f>IF(Registo!B17="","",Registo!AD17)</f>
        <v>0.03767123288</v>
      </c>
      <c r="O16" s="49">
        <f>IF(Registo!B17="","",Registo!AK17)</f>
        <v>5.1</v>
      </c>
      <c r="P16" s="49">
        <f>IF(Registo!B17="","",Registo!AL17)</f>
        <v>5.661666667</v>
      </c>
      <c r="Q16" s="50">
        <f>IF(Registo!B17="","",Registo!AM17)</f>
        <v>0.110130719</v>
      </c>
      <c r="R16" s="48">
        <f>IF(Registo!B17="","",Registo!AN17)</f>
        <v>400</v>
      </c>
      <c r="S16" s="51" t="str">
        <f>IF(Registo!B17="","",Registo!AS17)</f>
        <v/>
      </c>
      <c r="T16" s="52">
        <f t="shared" si="1"/>
        <v>1</v>
      </c>
    </row>
    <row r="17" ht="21.75" customHeight="1">
      <c r="A17" s="44">
        <f>IF(Registo!B18="","",Registo!A18)</f>
        <v>12</v>
      </c>
      <c r="B17" s="44" t="str">
        <f>IF(Registo!B18="","",Registo!B18)</f>
        <v>Gonçalo</v>
      </c>
      <c r="C17" s="44" t="str">
        <f>IF(Registo!B18="","",Registo!D18)</f>
        <v>Ala</v>
      </c>
      <c r="D17" s="44" t="str">
        <f>IF(Registo!B18="","",Registo!F18)</f>
        <v>Apto</v>
      </c>
      <c r="E17" s="47">
        <f>IF(Registo!B18="","",Registo!G18)</f>
        <v>183</v>
      </c>
      <c r="F17" s="47">
        <f>IF(Registo!B18="","",Registo!H18)</f>
        <v>58.5</v>
      </c>
      <c r="G17" s="48">
        <f>IF(Registo!B18="","",Registo!M18)</f>
        <v>216</v>
      </c>
      <c r="H17" s="49">
        <f>IF(Registo!B18="","",Registo!T18)</f>
        <v>1.25</v>
      </c>
      <c r="I17" s="49">
        <f>IF(Registo!B18="","",Registo!U18)</f>
        <v>2.08</v>
      </c>
      <c r="J17" s="49">
        <f>IF(Registo!B18="","",Registo!V18)</f>
        <v>4.78</v>
      </c>
      <c r="K17" s="49">
        <f>IF(Registo!B18="","",Registo!W18)</f>
        <v>2.7</v>
      </c>
      <c r="L17" s="49">
        <f>IF(Registo!B18="","",Registo!Z18)</f>
        <v>2.76</v>
      </c>
      <c r="M17" s="49">
        <f>IF(Registo!B18="","",Registo!AC18)</f>
        <v>2.75</v>
      </c>
      <c r="N17" s="50">
        <f>IF(Registo!B18="","",Registo!AD18)</f>
        <v>0.003636363636</v>
      </c>
      <c r="O17" s="49">
        <f>IF(Registo!B18="","",Registo!AK18)</f>
        <v>4.65</v>
      </c>
      <c r="P17" s="49">
        <f>IF(Registo!B18="","",Registo!AL18)</f>
        <v>4.993333333</v>
      </c>
      <c r="Q17" s="50">
        <f>IF(Registo!B18="","",Registo!AM18)</f>
        <v>0.07383512545</v>
      </c>
      <c r="R17" s="48">
        <f>IF(Registo!B18="","",Registo!AN18)</f>
        <v>320</v>
      </c>
      <c r="S17" s="51" t="str">
        <f>IF(Registo!B18="","",Registo!AS18)</f>
        <v/>
      </c>
      <c r="T17" s="52">
        <f t="shared" si="1"/>
        <v>1</v>
      </c>
    </row>
    <row r="18" ht="21.75" customHeight="1">
      <c r="A18" s="44">
        <f>IF(Registo!B19="","",Registo!A19)</f>
        <v>13</v>
      </c>
      <c r="B18" s="44" t="str">
        <f>IF(Registo!B19="","",Registo!B19)</f>
        <v>Preto</v>
      </c>
      <c r="C18" s="44" t="str">
        <f>IF(Registo!B19="","",Registo!D19)</f>
        <v>MDC</v>
      </c>
      <c r="D18" s="44" t="str">
        <f>IF(Registo!B19="","",Registo!F19)</f>
        <v>Apto</v>
      </c>
      <c r="E18" s="47">
        <f>IF(Registo!B19="","",Registo!G19)</f>
        <v>166</v>
      </c>
      <c r="F18" s="47">
        <f>IF(Registo!B19="","",Registo!H19)</f>
        <v>56.9</v>
      </c>
      <c r="G18" s="48">
        <f>IF(Registo!B19="","",Registo!M19)</f>
        <v>157</v>
      </c>
      <c r="H18" s="49">
        <f>IF(Registo!B19="","",Registo!T19)</f>
        <v>1.5</v>
      </c>
      <c r="I18" s="49">
        <f>IF(Registo!B19="","",Registo!U19)</f>
        <v>2.4</v>
      </c>
      <c r="J18" s="49">
        <f>IF(Registo!B19="","",Registo!V19)</f>
        <v>5.53</v>
      </c>
      <c r="K18" s="49">
        <f>IF(Registo!B19="","",Registo!W19)</f>
        <v>2.92</v>
      </c>
      <c r="L18" s="49">
        <f>IF(Registo!B19="","",Registo!Z19)</f>
        <v>2.94</v>
      </c>
      <c r="M18" s="49">
        <f>IF(Registo!B19="","",Registo!AC19)</f>
        <v>2.96</v>
      </c>
      <c r="N18" s="50">
        <f>IF(Registo!B19="","",Registo!AD19)</f>
        <v>0.006802721088</v>
      </c>
      <c r="O18" s="49">
        <f>IF(Registo!B19="","",Registo!AK19)</f>
        <v>5.25</v>
      </c>
      <c r="P18" s="49">
        <f>IF(Registo!B19="","",Registo!AL19)</f>
        <v>5.585</v>
      </c>
      <c r="Q18" s="50">
        <f>IF(Registo!B19="","",Registo!AM19)</f>
        <v>0.06380952381</v>
      </c>
      <c r="R18" s="48">
        <f>IF(Registo!B19="","",Registo!AN19)</f>
        <v>320</v>
      </c>
      <c r="S18" s="51" t="str">
        <f>IF(Registo!B19="","",Registo!AS19)</f>
        <v/>
      </c>
      <c r="T18" s="52">
        <f t="shared" si="1"/>
        <v>1</v>
      </c>
    </row>
    <row r="19" ht="21.75" customHeight="1">
      <c r="A19" s="44">
        <f>IF(Registo!B20="","",Registo!A20)</f>
        <v>14</v>
      </c>
      <c r="B19" s="44" t="str">
        <f>IF(Registo!B20="","",Registo!B20)</f>
        <v>Martim</v>
      </c>
      <c r="C19" s="44" t="str">
        <f>IF(Registo!B20="","",Registo!D20)</f>
        <v>DC</v>
      </c>
      <c r="D19" s="44" t="str">
        <f>IF(Registo!B20="","",Registo!F20)</f>
        <v>Apto</v>
      </c>
      <c r="E19" s="47">
        <f>IF(Registo!B20="","",Registo!G20)</f>
        <v>177</v>
      </c>
      <c r="F19" s="47">
        <f>IF(Registo!B20="","",Registo!H20)</f>
        <v>55.2</v>
      </c>
      <c r="G19" s="48">
        <f>IF(Registo!B20="","",Registo!M20)</f>
        <v>227</v>
      </c>
      <c r="H19" s="49">
        <f>IF(Registo!B20="","",Registo!T20)</f>
        <v>1.3</v>
      </c>
      <c r="I19" s="49">
        <f>IF(Registo!B20="","",Registo!U20)</f>
        <v>2.2</v>
      </c>
      <c r="J19" s="49">
        <f>IF(Registo!B20="","",Registo!V20)</f>
        <v>4.88</v>
      </c>
      <c r="K19" s="49">
        <f>IF(Registo!B20="","",Registo!W20)</f>
        <v>2.53</v>
      </c>
      <c r="L19" s="49">
        <f>IF(Registo!B20="","",Registo!Z20)</f>
        <v>2.65</v>
      </c>
      <c r="M19" s="49">
        <f>IF(Registo!B20="","",Registo!AC20)</f>
        <v>2.85</v>
      </c>
      <c r="N19" s="50">
        <f>IF(Registo!B20="","",Registo!AD20)</f>
        <v>0.07547169811</v>
      </c>
      <c r="O19" s="49">
        <f>IF(Registo!B20="","",Registo!AK20)</f>
        <v>4.22</v>
      </c>
      <c r="P19" s="49">
        <f>IF(Registo!B20="","",Registo!AL20)</f>
        <v>4.941666667</v>
      </c>
      <c r="Q19" s="50">
        <f>IF(Registo!B20="","",Registo!AM20)</f>
        <v>0.1710110585</v>
      </c>
      <c r="R19" s="48">
        <f>IF(Registo!B20="","",Registo!AN20)</f>
        <v>380</v>
      </c>
      <c r="S19" s="51" t="str">
        <f>IF(Registo!B20="","",Registo!AS20)</f>
        <v/>
      </c>
      <c r="T19" s="52">
        <f t="shared" si="1"/>
        <v>1</v>
      </c>
    </row>
    <row r="20" ht="21.75" customHeight="1">
      <c r="A20" s="44">
        <f>IF(Registo!B21="","",Registo!A21)</f>
        <v>15</v>
      </c>
      <c r="B20" s="44" t="str">
        <f>IF(Registo!B21="","",Registo!B21)</f>
        <v>Jajão</v>
      </c>
      <c r="C20" s="44" t="str">
        <f>IF(Registo!B21="","",Registo!D21)</f>
        <v>MC</v>
      </c>
      <c r="D20" s="44" t="str">
        <f>IF(Registo!B21="","",Registo!F21)</f>
        <v>Apto</v>
      </c>
      <c r="E20" s="47">
        <f>IF(Registo!B21="","",Registo!G21)</f>
        <v>174</v>
      </c>
      <c r="F20" s="47">
        <f>IF(Registo!B21="","",Registo!H21)</f>
        <v>71.6</v>
      </c>
      <c r="G20" s="48">
        <f>IF(Registo!B21="","",Registo!M21)</f>
        <v>244</v>
      </c>
      <c r="H20" s="49">
        <f>IF(Registo!B21="","",Registo!T21)</f>
        <v>1.23</v>
      </c>
      <c r="I20" s="49">
        <f>IF(Registo!B21="","",Registo!U21)</f>
        <v>2.21</v>
      </c>
      <c r="J20" s="49">
        <f>IF(Registo!B21="","",Registo!V21)</f>
        <v>4.81</v>
      </c>
      <c r="K20" s="49">
        <f>IF(Registo!B21="","",Registo!W21)</f>
        <v>2.55</v>
      </c>
      <c r="L20" s="49">
        <f>IF(Registo!B21="","",Registo!Z21)</f>
        <v>2.8</v>
      </c>
      <c r="M20" s="49">
        <f>IF(Registo!B21="","",Registo!AC21)</f>
        <v>2.75</v>
      </c>
      <c r="N20" s="50">
        <f>IF(Registo!B21="","",Registo!AD21)</f>
        <v>0.01818181818</v>
      </c>
      <c r="O20" s="49">
        <f>IF(Registo!B21="","",Registo!AK21)</f>
        <v>4.54</v>
      </c>
      <c r="P20" s="49">
        <f>IF(Registo!B21="","",Registo!AL21)</f>
        <v>4.911666667</v>
      </c>
      <c r="Q20" s="50">
        <f>IF(Registo!B21="","",Registo!AM21)</f>
        <v>0.08186490455</v>
      </c>
      <c r="R20" s="48">
        <f>IF(Registo!B21="","",Registo!AN21)</f>
        <v>280</v>
      </c>
      <c r="S20" s="51" t="str">
        <f>IF(Registo!B21="","",Registo!AS21)</f>
        <v/>
      </c>
      <c r="T20" s="52">
        <f t="shared" si="1"/>
        <v>1</v>
      </c>
    </row>
    <row r="21" ht="21.75" customHeight="1">
      <c r="A21" s="44">
        <f>IF(Registo!B22="","",Registo!A22)</f>
        <v>16</v>
      </c>
      <c r="B21" s="44" t="str">
        <f>IF(Registo!B22="","",Registo!B22)</f>
        <v>Pitu</v>
      </c>
      <c r="C21" s="44" t="str">
        <f>IF(Registo!B22="","",Registo!D22)</f>
        <v>GR</v>
      </c>
      <c r="D21" s="44" t="str">
        <f>IF(Registo!B22="","",Registo!F22)</f>
        <v>Apto</v>
      </c>
      <c r="E21" s="47">
        <f>IF(Registo!B22="","",Registo!G22)</f>
        <v>176</v>
      </c>
      <c r="F21" s="47">
        <f>IF(Registo!B22="","",Registo!H22)</f>
        <v>93.8</v>
      </c>
      <c r="G21" s="48">
        <f>IF(Registo!B22="","",Registo!M22)</f>
        <v>151</v>
      </c>
      <c r="H21" s="49">
        <f>IF(Registo!B22="","",Registo!T22)</f>
        <v>1.7</v>
      </c>
      <c r="I21" s="49">
        <f>IF(Registo!B22="","",Registo!U22)</f>
        <v>2.78</v>
      </c>
      <c r="J21" s="49">
        <f>IF(Registo!B22="","",Registo!V22)</f>
        <v>6.38</v>
      </c>
      <c r="K21" s="49">
        <f>IF(Registo!B22="","",Registo!W22)</f>
        <v>3.6</v>
      </c>
      <c r="L21" s="49">
        <f>IF(Registo!B22="","",Registo!Z22)</f>
        <v>3.56</v>
      </c>
      <c r="M21" s="49">
        <f>IF(Registo!B22="","",Registo!AC22)</f>
        <v>3.03</v>
      </c>
      <c r="N21" s="50">
        <f>IF(Registo!B22="","",Registo!AD22)</f>
        <v>0.1749174917</v>
      </c>
      <c r="O21" s="49">
        <f>IF(Registo!B22="","",Registo!AK22)</f>
        <v>6.44</v>
      </c>
      <c r="P21" s="49">
        <f>IF(Registo!B22="","",Registo!AL22)</f>
        <v>6.96</v>
      </c>
      <c r="Q21" s="50">
        <f>IF(Registo!B22="","",Registo!AM22)</f>
        <v>0.08074534161</v>
      </c>
      <c r="R21" s="48">
        <f>IF(Registo!B22="","",Registo!AN22)</f>
        <v>160</v>
      </c>
      <c r="S21" s="51" t="str">
        <f>IF(Registo!B22="","",Registo!AS22)</f>
        <v/>
      </c>
      <c r="T21" s="52">
        <f t="shared" si="1"/>
        <v>1</v>
      </c>
    </row>
    <row r="22" ht="21.75" customHeight="1">
      <c r="A22" s="44" t="str">
        <f>IF(Registo!B23="","",Registo!A23)</f>
        <v/>
      </c>
      <c r="B22" s="44" t="str">
        <f>IF(Registo!B23="","",Registo!B23)</f>
        <v/>
      </c>
      <c r="C22" s="44" t="str">
        <f>IF(Registo!B23="","",Registo!D23)</f>
        <v/>
      </c>
      <c r="D22" s="44" t="str">
        <f>IF(Registo!B23="","",Registo!F23)</f>
        <v/>
      </c>
      <c r="E22" s="47" t="str">
        <f>IF(Registo!B23="","",Registo!G23)</f>
        <v/>
      </c>
      <c r="F22" s="47" t="str">
        <f>IF(Registo!B23="","",Registo!H23)</f>
        <v/>
      </c>
      <c r="G22" s="48" t="str">
        <f>IF(Registo!B23="","",Registo!M23)</f>
        <v/>
      </c>
      <c r="H22" s="49" t="str">
        <f>IF(Registo!B23="","",Registo!T23)</f>
        <v/>
      </c>
      <c r="I22" s="49" t="str">
        <f>IF(Registo!B23="","",Registo!U23)</f>
        <v/>
      </c>
      <c r="J22" s="49" t="str">
        <f>IF(Registo!B23="","",Registo!V23)</f>
        <v/>
      </c>
      <c r="K22" s="49" t="str">
        <f>IF(Registo!B23="","",Registo!W23)</f>
        <v/>
      </c>
      <c r="L22" s="49" t="str">
        <f>IF(Registo!B23="","",Registo!Z23)</f>
        <v/>
      </c>
      <c r="M22" s="49" t="str">
        <f>IF(Registo!B23="","",Registo!AC23)</f>
        <v/>
      </c>
      <c r="N22" s="50" t="str">
        <f>IF(Registo!B23="","",Registo!AD23)</f>
        <v/>
      </c>
      <c r="O22" s="49" t="str">
        <f>IF(Registo!B23="","",Registo!AK23)</f>
        <v/>
      </c>
      <c r="P22" s="49" t="str">
        <f>IF(Registo!B23="","",Registo!AL23)</f>
        <v/>
      </c>
      <c r="Q22" s="50" t="str">
        <f>IF(Registo!B23="","",Registo!AM23)</f>
        <v/>
      </c>
      <c r="R22" s="48" t="str">
        <f>IF(Registo!B23="","",Registo!AN23)</f>
        <v/>
      </c>
      <c r="S22" s="51" t="str">
        <f>IF(Registo!B23="","",Registo!AS23)</f>
        <v/>
      </c>
      <c r="T22" s="52" t="str">
        <f t="shared" si="1"/>
        <v/>
      </c>
    </row>
    <row r="23" ht="21.75" customHeight="1">
      <c r="A23" s="44" t="str">
        <f>IF(Registo!B24="","",Registo!A24)</f>
        <v/>
      </c>
      <c r="B23" s="44" t="str">
        <f>IF(Registo!B24="","",Registo!B24)</f>
        <v/>
      </c>
      <c r="C23" s="44" t="str">
        <f>IF(Registo!B24="","",Registo!D24)</f>
        <v/>
      </c>
      <c r="D23" s="44" t="str">
        <f>IF(Registo!B24="","",Registo!F24)</f>
        <v/>
      </c>
      <c r="E23" s="47" t="str">
        <f>IF(Registo!B24="","",Registo!G24)</f>
        <v/>
      </c>
      <c r="F23" s="47" t="str">
        <f>IF(Registo!B24="","",Registo!H24)</f>
        <v/>
      </c>
      <c r="G23" s="48" t="str">
        <f>IF(Registo!B24="","",Registo!M24)</f>
        <v/>
      </c>
      <c r="H23" s="49" t="str">
        <f>IF(Registo!B24="","",Registo!T24)</f>
        <v/>
      </c>
      <c r="I23" s="49" t="str">
        <f>IF(Registo!B24="","",Registo!U24)</f>
        <v/>
      </c>
      <c r="J23" s="49" t="str">
        <f>IF(Registo!B24="","",Registo!V24)</f>
        <v/>
      </c>
      <c r="K23" s="49" t="str">
        <f>IF(Registo!B24="","",Registo!W24)</f>
        <v/>
      </c>
      <c r="L23" s="49" t="str">
        <f>IF(Registo!B24="","",Registo!Z24)</f>
        <v/>
      </c>
      <c r="M23" s="49" t="str">
        <f>IF(Registo!B24="","",Registo!AC24)</f>
        <v/>
      </c>
      <c r="N23" s="50" t="str">
        <f>IF(Registo!B24="","",Registo!AD24)</f>
        <v/>
      </c>
      <c r="O23" s="49" t="str">
        <f>IF(Registo!B24="","",Registo!AK24)</f>
        <v/>
      </c>
      <c r="P23" s="49" t="str">
        <f>IF(Registo!B24="","",Registo!AL24)</f>
        <v/>
      </c>
      <c r="Q23" s="50" t="str">
        <f>IF(Registo!B24="","",Registo!AM24)</f>
        <v/>
      </c>
      <c r="R23" s="48" t="str">
        <f>IF(Registo!B24="","",Registo!AN24)</f>
        <v/>
      </c>
      <c r="S23" s="51" t="str">
        <f>IF(Registo!B24="","",Registo!AS24)</f>
        <v/>
      </c>
      <c r="T23" s="52" t="str">
        <f t="shared" si="1"/>
        <v/>
      </c>
    </row>
    <row r="24" ht="21.75" customHeight="1">
      <c r="A24" s="44" t="str">
        <f>IF(Registo!B25="","",Registo!A25)</f>
        <v/>
      </c>
      <c r="B24" s="44" t="str">
        <f>IF(Registo!B25="","",Registo!B25)</f>
        <v/>
      </c>
      <c r="C24" s="44" t="str">
        <f>IF(Registo!B25="","",Registo!D25)</f>
        <v/>
      </c>
      <c r="D24" s="44" t="str">
        <f>IF(Registo!B25="","",Registo!F25)</f>
        <v/>
      </c>
      <c r="E24" s="47" t="str">
        <f>IF(Registo!B25="","",Registo!G25)</f>
        <v/>
      </c>
      <c r="F24" s="47" t="str">
        <f>IF(Registo!B25="","",Registo!H25)</f>
        <v/>
      </c>
      <c r="G24" s="48" t="str">
        <f>IF(Registo!B25="","",Registo!M25)</f>
        <v/>
      </c>
      <c r="H24" s="49" t="str">
        <f>IF(Registo!B25="","",Registo!T25)</f>
        <v/>
      </c>
      <c r="I24" s="49" t="str">
        <f>IF(Registo!B25="","",Registo!U25)</f>
        <v/>
      </c>
      <c r="J24" s="49" t="str">
        <f>IF(Registo!B25="","",Registo!V25)</f>
        <v/>
      </c>
      <c r="K24" s="49" t="str">
        <f>IF(Registo!B25="","",Registo!W25)</f>
        <v/>
      </c>
      <c r="L24" s="49" t="str">
        <f>IF(Registo!B25="","",Registo!Z25)</f>
        <v/>
      </c>
      <c r="M24" s="49" t="str">
        <f>IF(Registo!B25="","",Registo!AC25)</f>
        <v/>
      </c>
      <c r="N24" s="50" t="str">
        <f>IF(Registo!B25="","",Registo!AD25)</f>
        <v/>
      </c>
      <c r="O24" s="49" t="str">
        <f>IF(Registo!B25="","",Registo!AK25)</f>
        <v/>
      </c>
      <c r="P24" s="49" t="str">
        <f>IF(Registo!B25="","",Registo!AL25)</f>
        <v/>
      </c>
      <c r="Q24" s="50" t="str">
        <f>IF(Registo!B25="","",Registo!AM25)</f>
        <v/>
      </c>
      <c r="R24" s="48" t="str">
        <f>IF(Registo!B25="","",Registo!AN25)</f>
        <v/>
      </c>
      <c r="S24" s="51" t="str">
        <f>IF(Registo!B25="","",Registo!AS25)</f>
        <v/>
      </c>
      <c r="T24" s="52" t="str">
        <f t="shared" si="1"/>
        <v/>
      </c>
    </row>
    <row r="25" ht="21.75" customHeight="1">
      <c r="A25" s="44" t="str">
        <f>IF(Registo!B26="","",Registo!A26)</f>
        <v/>
      </c>
      <c r="B25" s="44" t="str">
        <f>IF(Registo!B26="","",Registo!B26)</f>
        <v/>
      </c>
      <c r="C25" s="44" t="str">
        <f>IF(Registo!B26="","",Registo!D26)</f>
        <v/>
      </c>
      <c r="D25" s="44" t="str">
        <f>IF(Registo!B26="","",Registo!F26)</f>
        <v/>
      </c>
      <c r="E25" s="47" t="str">
        <f>IF(Registo!B26="","",Registo!G26)</f>
        <v/>
      </c>
      <c r="F25" s="47" t="str">
        <f>IF(Registo!B26="","",Registo!H26)</f>
        <v/>
      </c>
      <c r="G25" s="48" t="str">
        <f>IF(Registo!B26="","",Registo!M26)</f>
        <v/>
      </c>
      <c r="H25" s="49" t="str">
        <f>IF(Registo!B26="","",Registo!T26)</f>
        <v/>
      </c>
      <c r="I25" s="49" t="str">
        <f>IF(Registo!B26="","",Registo!U26)</f>
        <v/>
      </c>
      <c r="J25" s="49" t="str">
        <f>IF(Registo!B26="","",Registo!V26)</f>
        <v/>
      </c>
      <c r="K25" s="49" t="str">
        <f>IF(Registo!B26="","",Registo!W26)</f>
        <v/>
      </c>
      <c r="L25" s="49" t="str">
        <f>IF(Registo!B26="","",Registo!Z26)</f>
        <v/>
      </c>
      <c r="M25" s="49" t="str">
        <f>IF(Registo!B26="","",Registo!AC26)</f>
        <v/>
      </c>
      <c r="N25" s="50" t="str">
        <f>IF(Registo!B26="","",Registo!AD26)</f>
        <v/>
      </c>
      <c r="O25" s="49" t="str">
        <f>IF(Registo!B26="","",Registo!AK26)</f>
        <v/>
      </c>
      <c r="P25" s="49" t="str">
        <f>IF(Registo!B26="","",Registo!AL26)</f>
        <v/>
      </c>
      <c r="Q25" s="50" t="str">
        <f>IF(Registo!B26="","",Registo!AM26)</f>
        <v/>
      </c>
      <c r="R25" s="48" t="str">
        <f>IF(Registo!B26="","",Registo!AN26)</f>
        <v/>
      </c>
      <c r="S25" s="51" t="str">
        <f>IF(Registo!B26="","",Registo!AS26)</f>
        <v/>
      </c>
      <c r="T25" s="52" t="str">
        <f t="shared" si="1"/>
        <v/>
      </c>
    </row>
    <row r="26" ht="21.75" customHeight="1">
      <c r="A26" s="66" t="str">
        <f>IF(Registo!B27="","",Registo!A27)</f>
        <v/>
      </c>
      <c r="B26" s="66" t="str">
        <f>IF(Registo!B27="","",Registo!B27)</f>
        <v/>
      </c>
      <c r="C26" s="66" t="str">
        <f>IF(Registo!B27="","",Registo!D27)</f>
        <v/>
      </c>
      <c r="D26" s="66" t="str">
        <f>IF(Registo!B27="","",Registo!F27)</f>
        <v/>
      </c>
      <c r="E26" s="67" t="str">
        <f>IF(Registo!B27="","",Registo!G27)</f>
        <v/>
      </c>
      <c r="F26" s="67" t="str">
        <f>IF(Registo!B27="","",Registo!H27)</f>
        <v/>
      </c>
      <c r="G26" s="68" t="str">
        <f>IF(Registo!B27="","",Registo!M27)</f>
        <v/>
      </c>
      <c r="H26" s="69" t="str">
        <f>IF(Registo!B27="","",Registo!T27)</f>
        <v/>
      </c>
      <c r="I26" s="69" t="str">
        <f>IF(Registo!B27="","",Registo!U27)</f>
        <v/>
      </c>
      <c r="J26" s="69" t="str">
        <f>IF(Registo!B27="","",Registo!V27)</f>
        <v/>
      </c>
      <c r="K26" s="69" t="str">
        <f>IF(Registo!B27="","",Registo!W27)</f>
        <v/>
      </c>
      <c r="L26" s="69" t="str">
        <f>IF(Registo!B27="","",Registo!Z27)</f>
        <v/>
      </c>
      <c r="M26" s="69" t="str">
        <f>IF(Registo!B27="","",Registo!AC27)</f>
        <v/>
      </c>
      <c r="N26" s="70" t="str">
        <f>IF(Registo!B27="","",Registo!AD27)</f>
        <v/>
      </c>
      <c r="O26" s="69" t="str">
        <f>IF(Registo!B27="","",Registo!AK27)</f>
        <v/>
      </c>
      <c r="P26" s="69" t="str">
        <f>IF(Registo!B27="","",Registo!AL27)</f>
        <v/>
      </c>
      <c r="Q26" s="70" t="str">
        <f>IF(Registo!B27="","",Registo!AM27)</f>
        <v/>
      </c>
      <c r="R26" s="68" t="str">
        <f>IF(Registo!B27="","",Registo!AN27)</f>
        <v/>
      </c>
      <c r="S26" s="71" t="str">
        <f>IF(Registo!B27="","",Registo!AS27)</f>
        <v/>
      </c>
      <c r="T26" s="72" t="str">
        <f t="shared" si="1"/>
        <v/>
      </c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N6:N26">
    <cfRule type="cellIs" dxfId="0" priority="1" operator="greaterThan">
      <formula>0.1</formula>
    </cfRule>
  </conditionalFormatting>
  <conditionalFormatting sqref="Q6:Q26">
    <cfRule type="cellIs" dxfId="0" priority="2" operator="greaterThan">
      <formula>0.05</formula>
    </cfRule>
  </conditionalFormatting>
  <conditionalFormatting sqref="T6:T26">
    <cfRule type="expression" dxfId="0" priority="3">
      <formula>AND($B6&lt;&gt;"",$T6&lt;0.75)</formula>
    </cfRule>
  </conditionalFormatting>
  <conditionalFormatting sqref="T6:T26">
    <cfRule type="expression" dxfId="2" priority="4">
      <formula>AND($B6&lt;&gt;"",$T6=1)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F75B5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5.0"/>
    <col customWidth="1" min="2" max="2" width="20.0"/>
    <col customWidth="1" min="3" max="3" width="7.0"/>
    <col customWidth="1" min="4" max="6" width="13.0"/>
    <col customWidth="1" min="7" max="9" width="10.0"/>
    <col customWidth="1" min="10" max="39" width="9.0"/>
    <col customWidth="1" min="40" max="45" width="12.0"/>
    <col customWidth="1" min="46" max="46" width="28.0"/>
  </cols>
  <sheetData>
    <row r="2" ht="24.75" customHeight="1">
      <c r="A2" s="1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3">
      <c r="A3" s="9" t="s">
        <v>30</v>
      </c>
      <c r="B3" s="10"/>
      <c r="C3" s="10"/>
      <c r="D3" s="11" t="s">
        <v>50</v>
      </c>
      <c r="E3" s="12"/>
      <c r="F3" s="10"/>
      <c r="G3" s="11" t="s">
        <v>69</v>
      </c>
      <c r="H3" s="10"/>
      <c r="I3" s="10"/>
      <c r="J3" s="10"/>
      <c r="K3" s="11" t="s">
        <v>70</v>
      </c>
      <c r="L3" s="10"/>
      <c r="M3" s="10"/>
      <c r="N3" s="10"/>
    </row>
    <row r="4">
      <c r="A4" s="8" t="s">
        <v>71</v>
      </c>
    </row>
    <row r="5">
      <c r="A5" s="15" t="s">
        <v>72</v>
      </c>
      <c r="B5" s="16"/>
      <c r="C5" s="16"/>
      <c r="D5" s="16"/>
      <c r="E5" s="16"/>
      <c r="F5" s="18"/>
      <c r="G5" s="15" t="s">
        <v>81</v>
      </c>
      <c r="H5" s="16"/>
      <c r="I5" s="18"/>
      <c r="J5" s="15" t="s">
        <v>82</v>
      </c>
      <c r="K5" s="16"/>
      <c r="L5" s="16"/>
      <c r="M5" s="18"/>
      <c r="N5" s="15" t="s">
        <v>83</v>
      </c>
      <c r="O5" s="16"/>
      <c r="P5" s="18"/>
      <c r="Q5" s="15" t="s">
        <v>85</v>
      </c>
      <c r="R5" s="16"/>
      <c r="S5" s="18"/>
      <c r="T5" s="15" t="s">
        <v>86</v>
      </c>
      <c r="U5" s="16"/>
      <c r="V5" s="16"/>
      <c r="W5" s="18"/>
      <c r="X5" s="15" t="s">
        <v>88</v>
      </c>
      <c r="Y5" s="16"/>
      <c r="Z5" s="16"/>
      <c r="AA5" s="16"/>
      <c r="AB5" s="16"/>
      <c r="AC5" s="18"/>
      <c r="AD5" s="15" t="s">
        <v>90</v>
      </c>
      <c r="AE5" s="16"/>
      <c r="AF5" s="16"/>
      <c r="AG5" s="16"/>
      <c r="AH5" s="16"/>
      <c r="AI5" s="16"/>
      <c r="AJ5" s="16"/>
      <c r="AK5" s="16"/>
      <c r="AL5" s="16"/>
      <c r="AM5" s="18"/>
      <c r="AN5" s="15" t="s">
        <v>92</v>
      </c>
      <c r="AO5" s="16"/>
      <c r="AP5" s="16"/>
      <c r="AQ5" s="16"/>
      <c r="AR5" s="16"/>
      <c r="AS5" s="18"/>
      <c r="AT5" s="21" t="s">
        <v>93</v>
      </c>
    </row>
    <row r="6" ht="43.5" customHeight="1">
      <c r="A6" s="24" t="s">
        <v>32</v>
      </c>
      <c r="B6" s="24" t="s">
        <v>36</v>
      </c>
      <c r="C6" s="24" t="s">
        <v>99</v>
      </c>
      <c r="D6" s="24" t="s">
        <v>38</v>
      </c>
      <c r="E6" s="24" t="s">
        <v>100</v>
      </c>
      <c r="F6" s="24" t="s">
        <v>40</v>
      </c>
      <c r="G6" s="24" t="s">
        <v>41</v>
      </c>
      <c r="H6" s="24" t="s">
        <v>43</v>
      </c>
      <c r="I6" s="24" t="s">
        <v>102</v>
      </c>
      <c r="J6" s="24" t="s">
        <v>103</v>
      </c>
      <c r="K6" s="24" t="s">
        <v>104</v>
      </c>
      <c r="L6" s="24" t="s">
        <v>105</v>
      </c>
      <c r="M6" s="24" t="s">
        <v>106</v>
      </c>
      <c r="N6" s="24" t="s">
        <v>107</v>
      </c>
      <c r="O6" s="24" t="s">
        <v>108</v>
      </c>
      <c r="P6" s="24" t="s">
        <v>109</v>
      </c>
      <c r="Q6" s="24" t="s">
        <v>107</v>
      </c>
      <c r="R6" s="24" t="s">
        <v>108</v>
      </c>
      <c r="S6" s="24" t="s">
        <v>109</v>
      </c>
      <c r="T6" s="24" t="s">
        <v>111</v>
      </c>
      <c r="U6" s="24" t="s">
        <v>112</v>
      </c>
      <c r="V6" s="24" t="s">
        <v>113</v>
      </c>
      <c r="W6" s="24" t="s">
        <v>114</v>
      </c>
      <c r="X6" s="24" t="s">
        <v>115</v>
      </c>
      <c r="Y6" s="24" t="s">
        <v>116</v>
      </c>
      <c r="Z6" s="24" t="s">
        <v>117</v>
      </c>
      <c r="AA6" s="24" t="s">
        <v>118</v>
      </c>
      <c r="AB6" s="24" t="s">
        <v>119</v>
      </c>
      <c r="AC6" s="24" t="s">
        <v>120</v>
      </c>
      <c r="AD6" s="24" t="s">
        <v>58</v>
      </c>
      <c r="AE6" s="24" t="s">
        <v>122</v>
      </c>
      <c r="AF6" s="24" t="s">
        <v>123</v>
      </c>
      <c r="AG6" s="24" t="s">
        <v>124</v>
      </c>
      <c r="AH6" s="24" t="s">
        <v>125</v>
      </c>
      <c r="AI6" s="24" t="s">
        <v>126</v>
      </c>
      <c r="AJ6" s="24" t="s">
        <v>127</v>
      </c>
      <c r="AK6" s="24" t="s">
        <v>128</v>
      </c>
      <c r="AL6" s="24" t="s">
        <v>129</v>
      </c>
      <c r="AM6" s="24" t="s">
        <v>64</v>
      </c>
      <c r="AN6" s="24" t="s">
        <v>65</v>
      </c>
      <c r="AO6" s="24" t="s">
        <v>130</v>
      </c>
      <c r="AP6" s="24" t="s">
        <v>131</v>
      </c>
      <c r="AQ6" s="24" t="s">
        <v>132</v>
      </c>
      <c r="AR6" s="24" t="s">
        <v>133</v>
      </c>
      <c r="AS6" s="24" t="s">
        <v>67</v>
      </c>
      <c r="AT6" s="24" t="s">
        <v>134</v>
      </c>
    </row>
    <row r="7" ht="21.75" customHeight="1">
      <c r="A7" s="28">
        <v>1.0</v>
      </c>
      <c r="B7" s="29" t="s">
        <v>135</v>
      </c>
      <c r="C7" s="29">
        <v>18.0</v>
      </c>
      <c r="D7" s="29" t="s">
        <v>136</v>
      </c>
      <c r="E7" s="29" t="s">
        <v>137</v>
      </c>
      <c r="F7" s="29" t="s">
        <v>138</v>
      </c>
      <c r="G7" s="31">
        <v>174.0</v>
      </c>
      <c r="H7" s="31">
        <v>59.2</v>
      </c>
      <c r="I7" s="34">
        <f t="shared" ref="I7:I27" si="2">IF(OR(B7="",NOT(ISNUMBER(G7)),NOT(ISNUMBER(H7)),G7&lt;=0),"",H7/(G7/100)^2)</f>
        <v>19.55344167</v>
      </c>
      <c r="J7" s="35">
        <v>233.0</v>
      </c>
      <c r="K7" s="35">
        <v>234.0</v>
      </c>
      <c r="L7" s="35">
        <v>231.0</v>
      </c>
      <c r="M7" s="36">
        <f t="shared" ref="M7:M27" si="3">IF(COUNT(J7:L7)=0,"",MAX(J7:L7))</f>
        <v>234</v>
      </c>
      <c r="N7" s="37">
        <v>1.31</v>
      </c>
      <c r="O7" s="37">
        <v>2.33</v>
      </c>
      <c r="P7" s="37">
        <v>5.03</v>
      </c>
      <c r="Q7" s="37">
        <v>1.2</v>
      </c>
      <c r="R7" s="37">
        <v>2.25</v>
      </c>
      <c r="S7" s="37">
        <v>4.78</v>
      </c>
      <c r="T7" s="38">
        <f t="shared" ref="T7:V7" si="1">IF(COUNT(N7,Q7)=0,"",MIN(N7,Q7))</f>
        <v>1.2</v>
      </c>
      <c r="U7" s="38">
        <f t="shared" si="1"/>
        <v>2.25</v>
      </c>
      <c r="V7" s="38">
        <f t="shared" si="1"/>
        <v>4.78</v>
      </c>
      <c r="W7" s="38">
        <f t="shared" ref="W7:W27" si="5">IF(COUNT(O7:P7)=2,IF(COUNT(R7:S7)=2,MIN(P7-O7,S7-R7),P7-O7),IF(COUNT(R7:S7)=2,S7-R7,""))</f>
        <v>2.53</v>
      </c>
      <c r="X7" s="37">
        <v>2.63</v>
      </c>
      <c r="Y7" s="37">
        <v>3.4</v>
      </c>
      <c r="Z7" s="38">
        <f t="shared" ref="Z7:Z27" si="6">IF(COUNT(X7:Y7)=0,"",MIN(X7:Y7))</f>
        <v>2.63</v>
      </c>
      <c r="AA7" s="37">
        <v>2.61</v>
      </c>
      <c r="AB7" s="37">
        <v>2.77</v>
      </c>
      <c r="AC7" s="38">
        <f t="shared" ref="AC7:AC27" si="7">IF(COUNT(AA7:AB7)=0,"",MIN(AA7:AB7))</f>
        <v>2.61</v>
      </c>
      <c r="AD7" s="40">
        <f t="shared" ref="AD7:AD27" si="8">IF(OR(Z7="",AC7=""),"",ABS(Z7-AC7)/MIN(Z7,AC7))</f>
        <v>0.007662835249</v>
      </c>
      <c r="AE7" s="42">
        <v>5.62</v>
      </c>
      <c r="AF7" s="42">
        <v>5.44</v>
      </c>
      <c r="AG7" s="42">
        <v>5.03</v>
      </c>
      <c r="AH7" s="42">
        <v>5.12</v>
      </c>
      <c r="AI7" s="42">
        <v>5.28</v>
      </c>
      <c r="AJ7" s="42">
        <v>4.75</v>
      </c>
      <c r="AK7" s="38">
        <f t="shared" ref="AK7:AK27" si="9">IF(COUNT(AE7:AJ7)=0,"",MIN(AE7:AJ7))</f>
        <v>4.75</v>
      </c>
      <c r="AL7" s="38">
        <f t="shared" ref="AL7:AL27" si="10">IF(COUNT(AE7:AJ7)=0,"",AVERAGE(AE7:AJ7))</f>
        <v>5.206666667</v>
      </c>
      <c r="AM7" s="40">
        <f t="shared" ref="AM7:AM27" si="11">IF(COUNT(AE7:AJ7)&lt;6,"",SUM(AE7:AJ7)/(MIN(AE7:AJ7)*6)-1)</f>
        <v>0.09614035088</v>
      </c>
      <c r="AN7" s="35">
        <v>800.0</v>
      </c>
      <c r="AO7" s="29">
        <v>40.0</v>
      </c>
      <c r="AP7" s="35">
        <v>28.0</v>
      </c>
      <c r="AQ7" s="35">
        <v>90.0</v>
      </c>
      <c r="AR7" s="45"/>
      <c r="AS7" s="29" t="s">
        <v>136</v>
      </c>
      <c r="AT7" s="46"/>
    </row>
    <row r="8" ht="21.75" customHeight="1">
      <c r="A8" s="28">
        <v>2.0</v>
      </c>
      <c r="B8" s="29" t="s">
        <v>139</v>
      </c>
      <c r="C8" s="29">
        <v>11.0</v>
      </c>
      <c r="D8" s="29" t="s">
        <v>140</v>
      </c>
      <c r="E8" s="29" t="s">
        <v>137</v>
      </c>
      <c r="F8" s="29" t="s">
        <v>138</v>
      </c>
      <c r="G8" s="31">
        <v>167.0</v>
      </c>
      <c r="H8" s="31">
        <v>50.2</v>
      </c>
      <c r="I8" s="34">
        <f t="shared" si="2"/>
        <v>17.99992829</v>
      </c>
      <c r="J8" s="35">
        <v>191.0</v>
      </c>
      <c r="K8" s="35">
        <v>195.0</v>
      </c>
      <c r="L8" s="35">
        <v>210.0</v>
      </c>
      <c r="M8" s="36">
        <f t="shared" si="3"/>
        <v>210</v>
      </c>
      <c r="N8" s="37">
        <v>1.29</v>
      </c>
      <c r="O8" s="37">
        <v>2.43</v>
      </c>
      <c r="P8" s="37">
        <v>5.19</v>
      </c>
      <c r="Q8" s="37">
        <v>1.36</v>
      </c>
      <c r="R8" s="37">
        <v>2.36</v>
      </c>
      <c r="S8" s="37">
        <v>5.03</v>
      </c>
      <c r="T8" s="38">
        <f t="shared" ref="T8:V8" si="4">IF(COUNT(N8,Q8)=0,"",MIN(N8,Q8))</f>
        <v>1.29</v>
      </c>
      <c r="U8" s="38">
        <f t="shared" si="4"/>
        <v>2.36</v>
      </c>
      <c r="V8" s="38">
        <f t="shared" si="4"/>
        <v>5.03</v>
      </c>
      <c r="W8" s="38">
        <f t="shared" si="5"/>
        <v>2.67</v>
      </c>
      <c r="X8" s="37">
        <v>2.75</v>
      </c>
      <c r="Y8" s="37">
        <v>2.77</v>
      </c>
      <c r="Z8" s="38">
        <f t="shared" si="6"/>
        <v>2.75</v>
      </c>
      <c r="AA8" s="37">
        <v>3.03</v>
      </c>
      <c r="AB8" s="37">
        <v>2.74</v>
      </c>
      <c r="AC8" s="38">
        <f t="shared" si="7"/>
        <v>2.74</v>
      </c>
      <c r="AD8" s="40">
        <f t="shared" si="8"/>
        <v>0.003649635036</v>
      </c>
      <c r="AE8" s="42">
        <v>5.47</v>
      </c>
      <c r="AF8" s="42">
        <v>9.0</v>
      </c>
      <c r="AG8" s="42">
        <v>5.0</v>
      </c>
      <c r="AH8" s="42">
        <v>4.44</v>
      </c>
      <c r="AI8" s="42">
        <v>5.44</v>
      </c>
      <c r="AJ8" s="42">
        <v>5.16</v>
      </c>
      <c r="AK8" s="38">
        <f t="shared" si="9"/>
        <v>4.44</v>
      </c>
      <c r="AL8" s="38">
        <f t="shared" si="10"/>
        <v>5.751666667</v>
      </c>
      <c r="AM8" s="40">
        <f t="shared" si="11"/>
        <v>0.2954204204</v>
      </c>
      <c r="AN8" s="35">
        <v>540.0</v>
      </c>
      <c r="AO8" s="29">
        <v>27.0</v>
      </c>
      <c r="AP8" s="35">
        <v>30.0</v>
      </c>
      <c r="AQ8" s="35">
        <v>120.0</v>
      </c>
      <c r="AR8" s="45"/>
      <c r="AS8" s="45"/>
      <c r="AT8" s="46"/>
    </row>
    <row r="9" ht="21.75" customHeight="1">
      <c r="A9" s="28">
        <v>3.0</v>
      </c>
      <c r="B9" s="29" t="s">
        <v>141</v>
      </c>
      <c r="C9" s="29">
        <v>4.0</v>
      </c>
      <c r="D9" s="29" t="s">
        <v>142</v>
      </c>
      <c r="E9" s="29" t="s">
        <v>137</v>
      </c>
      <c r="F9" s="29" t="s">
        <v>138</v>
      </c>
      <c r="G9" s="31">
        <v>175.0</v>
      </c>
      <c r="H9" s="31">
        <v>76.1</v>
      </c>
      <c r="I9" s="34">
        <f t="shared" si="2"/>
        <v>24.84897959</v>
      </c>
      <c r="J9" s="35">
        <v>210.0</v>
      </c>
      <c r="K9" s="35">
        <v>217.0</v>
      </c>
      <c r="L9" s="35">
        <v>226.0</v>
      </c>
      <c r="M9" s="36">
        <f t="shared" si="3"/>
        <v>226</v>
      </c>
      <c r="N9" s="37">
        <v>1.43</v>
      </c>
      <c r="O9" s="37">
        <v>2.58</v>
      </c>
      <c r="P9" s="37">
        <v>4.56</v>
      </c>
      <c r="Q9" s="37">
        <v>1.23</v>
      </c>
      <c r="R9" s="37">
        <v>2.34</v>
      </c>
      <c r="S9" s="37">
        <v>4.84</v>
      </c>
      <c r="T9" s="38">
        <f t="shared" ref="T9:V9" si="12">IF(COUNT(N9,Q9)=0,"",MIN(N9,Q9))</f>
        <v>1.23</v>
      </c>
      <c r="U9" s="38">
        <f t="shared" si="12"/>
        <v>2.34</v>
      </c>
      <c r="V9" s="38">
        <f t="shared" si="12"/>
        <v>4.56</v>
      </c>
      <c r="W9" s="38">
        <f t="shared" si="5"/>
        <v>1.98</v>
      </c>
      <c r="X9" s="37">
        <v>2.8</v>
      </c>
      <c r="Y9" s="37">
        <v>2.7</v>
      </c>
      <c r="Z9" s="38">
        <f t="shared" si="6"/>
        <v>2.7</v>
      </c>
      <c r="AA9" s="37">
        <v>2.86</v>
      </c>
      <c r="AB9" s="37">
        <v>2.89</v>
      </c>
      <c r="AC9" s="38">
        <f t="shared" si="7"/>
        <v>2.86</v>
      </c>
      <c r="AD9" s="40">
        <f t="shared" si="8"/>
        <v>0.05925925926</v>
      </c>
      <c r="AE9" s="42">
        <v>5.4</v>
      </c>
      <c r="AF9" s="42">
        <v>4.94</v>
      </c>
      <c r="AG9" s="42">
        <v>4.56</v>
      </c>
      <c r="AH9" s="42">
        <v>4.62</v>
      </c>
      <c r="AI9" s="42">
        <v>5.25</v>
      </c>
      <c r="AJ9" s="42">
        <v>4.58</v>
      </c>
      <c r="AK9" s="38">
        <f t="shared" si="9"/>
        <v>4.56</v>
      </c>
      <c r="AL9" s="38">
        <f t="shared" si="10"/>
        <v>4.891666667</v>
      </c>
      <c r="AM9" s="40">
        <f t="shared" si="11"/>
        <v>0.07273391813</v>
      </c>
      <c r="AN9" s="35">
        <v>640.0</v>
      </c>
      <c r="AO9" s="29">
        <v>32.0</v>
      </c>
      <c r="AP9" s="35">
        <v>18.0</v>
      </c>
      <c r="AQ9" s="35">
        <v>76.0</v>
      </c>
      <c r="AR9" s="45"/>
      <c r="AS9" s="45"/>
      <c r="AT9" s="46"/>
    </row>
    <row r="10" ht="21.75" customHeight="1">
      <c r="A10" s="28">
        <v>4.0</v>
      </c>
      <c r="B10" s="29" t="s">
        <v>143</v>
      </c>
      <c r="C10" s="29">
        <v>7.0</v>
      </c>
      <c r="D10" s="29" t="s">
        <v>140</v>
      </c>
      <c r="E10" s="29" t="s">
        <v>137</v>
      </c>
      <c r="F10" s="29" t="s">
        <v>138</v>
      </c>
      <c r="G10" s="31">
        <v>182.0</v>
      </c>
      <c r="H10" s="31">
        <v>65.6</v>
      </c>
      <c r="I10" s="34">
        <f t="shared" si="2"/>
        <v>19.80437145</v>
      </c>
      <c r="J10" s="35">
        <v>218.0</v>
      </c>
      <c r="K10" s="35">
        <v>211.0</v>
      </c>
      <c r="L10" s="35">
        <v>219.0</v>
      </c>
      <c r="M10" s="36">
        <f t="shared" si="3"/>
        <v>219</v>
      </c>
      <c r="N10" s="37">
        <v>1.23</v>
      </c>
      <c r="O10" s="37">
        <v>2.35</v>
      </c>
      <c r="P10" s="37">
        <v>5.13</v>
      </c>
      <c r="Q10" s="37">
        <v>1.2</v>
      </c>
      <c r="R10" s="37">
        <v>2.03</v>
      </c>
      <c r="S10" s="37">
        <v>4.91</v>
      </c>
      <c r="T10" s="38">
        <f t="shared" ref="T10:V10" si="13">IF(COUNT(N10,Q10)=0,"",MIN(N10,Q10))</f>
        <v>1.2</v>
      </c>
      <c r="U10" s="38">
        <f t="shared" si="13"/>
        <v>2.03</v>
      </c>
      <c r="V10" s="38">
        <f t="shared" si="13"/>
        <v>4.91</v>
      </c>
      <c r="W10" s="38">
        <f t="shared" si="5"/>
        <v>2.78</v>
      </c>
      <c r="X10" s="37">
        <v>2.2</v>
      </c>
      <c r="Y10" s="37">
        <v>2.61</v>
      </c>
      <c r="Z10" s="38">
        <f t="shared" si="6"/>
        <v>2.2</v>
      </c>
      <c r="AA10" s="37">
        <v>2.63</v>
      </c>
      <c r="AB10" s="37">
        <v>2.89</v>
      </c>
      <c r="AC10" s="38">
        <f t="shared" si="7"/>
        <v>2.63</v>
      </c>
      <c r="AD10" s="40">
        <f t="shared" si="8"/>
        <v>0.1954545455</v>
      </c>
      <c r="AE10" s="42">
        <v>5.36</v>
      </c>
      <c r="AF10" s="42">
        <v>4.5</v>
      </c>
      <c r="AG10" s="42">
        <v>5.06</v>
      </c>
      <c r="AH10" s="42">
        <v>4.94</v>
      </c>
      <c r="AI10" s="42">
        <v>5.0</v>
      </c>
      <c r="AJ10" s="42">
        <v>5.0</v>
      </c>
      <c r="AK10" s="38">
        <f t="shared" si="9"/>
        <v>4.5</v>
      </c>
      <c r="AL10" s="38">
        <f t="shared" si="10"/>
        <v>4.976666667</v>
      </c>
      <c r="AM10" s="40">
        <f t="shared" si="11"/>
        <v>0.1059259259</v>
      </c>
      <c r="AN10" s="35">
        <v>480.0</v>
      </c>
      <c r="AO10" s="29">
        <v>24.0</v>
      </c>
      <c r="AP10" s="35">
        <v>21.0</v>
      </c>
      <c r="AQ10" s="35">
        <v>70.0</v>
      </c>
      <c r="AR10" s="45"/>
      <c r="AS10" s="45"/>
      <c r="AT10" s="46"/>
    </row>
    <row r="11" ht="21.75" customHeight="1">
      <c r="A11" s="28">
        <v>5.0</v>
      </c>
      <c r="B11" s="29" t="s">
        <v>144</v>
      </c>
      <c r="C11" s="29">
        <v>30.0</v>
      </c>
      <c r="D11" s="29" t="s">
        <v>145</v>
      </c>
      <c r="E11" s="29" t="s">
        <v>137</v>
      </c>
      <c r="F11" s="29" t="s">
        <v>138</v>
      </c>
      <c r="G11" s="31">
        <v>171.0</v>
      </c>
      <c r="H11" s="31">
        <v>83.8</v>
      </c>
      <c r="I11" s="34">
        <f t="shared" si="2"/>
        <v>28.65839062</v>
      </c>
      <c r="J11" s="35">
        <v>231.0</v>
      </c>
      <c r="K11" s="35">
        <v>223.0</v>
      </c>
      <c r="L11" s="35">
        <v>228.0</v>
      </c>
      <c r="M11" s="36">
        <f t="shared" si="3"/>
        <v>231</v>
      </c>
      <c r="N11" s="37">
        <v>1.33</v>
      </c>
      <c r="O11" s="37">
        <v>2.38</v>
      </c>
      <c r="P11" s="37">
        <v>4.69</v>
      </c>
      <c r="Q11" s="37">
        <v>1.21</v>
      </c>
      <c r="R11" s="37">
        <v>2.21</v>
      </c>
      <c r="S11" s="37">
        <v>5.12</v>
      </c>
      <c r="T11" s="38">
        <f t="shared" ref="T11:V11" si="14">IF(COUNT(N11,Q11)=0,"",MIN(N11,Q11))</f>
        <v>1.21</v>
      </c>
      <c r="U11" s="38">
        <f t="shared" si="14"/>
        <v>2.21</v>
      </c>
      <c r="V11" s="38">
        <f t="shared" si="14"/>
        <v>4.69</v>
      </c>
      <c r="W11" s="38">
        <f t="shared" si="5"/>
        <v>2.31</v>
      </c>
      <c r="X11" s="37">
        <v>2.95</v>
      </c>
      <c r="Y11" s="37">
        <v>2.73</v>
      </c>
      <c r="Z11" s="38">
        <f t="shared" si="6"/>
        <v>2.73</v>
      </c>
      <c r="AA11" s="37">
        <v>2.73</v>
      </c>
      <c r="AB11" s="37">
        <v>2.81</v>
      </c>
      <c r="AC11" s="38">
        <f t="shared" si="7"/>
        <v>2.73</v>
      </c>
      <c r="AD11" s="40">
        <f t="shared" si="8"/>
        <v>0</v>
      </c>
      <c r="AE11" s="42">
        <v>5.33</v>
      </c>
      <c r="AF11" s="42">
        <v>4.53</v>
      </c>
      <c r="AG11" s="42">
        <v>4.91</v>
      </c>
      <c r="AH11" s="42">
        <v>4.72</v>
      </c>
      <c r="AI11" s="42">
        <v>5.03</v>
      </c>
      <c r="AJ11" s="42">
        <v>4.66</v>
      </c>
      <c r="AK11" s="38">
        <f t="shared" si="9"/>
        <v>4.53</v>
      </c>
      <c r="AL11" s="38">
        <f t="shared" si="10"/>
        <v>4.863333333</v>
      </c>
      <c r="AM11" s="40">
        <f t="shared" si="11"/>
        <v>0.07358351729</v>
      </c>
      <c r="AN11" s="35">
        <v>600.0</v>
      </c>
      <c r="AO11" s="29">
        <v>30.0</v>
      </c>
      <c r="AP11" s="35">
        <v>30.0</v>
      </c>
      <c r="AQ11" s="35">
        <v>60.0</v>
      </c>
      <c r="AR11" s="45"/>
      <c r="AS11" s="45"/>
      <c r="AT11" s="46"/>
    </row>
    <row r="12" ht="21.75" customHeight="1">
      <c r="A12" s="28">
        <v>6.0</v>
      </c>
      <c r="B12" s="29" t="s">
        <v>146</v>
      </c>
      <c r="C12" s="29">
        <v>20.0</v>
      </c>
      <c r="D12" s="29" t="s">
        <v>147</v>
      </c>
      <c r="E12" s="29" t="s">
        <v>137</v>
      </c>
      <c r="F12" s="29" t="s">
        <v>138</v>
      </c>
      <c r="G12" s="31">
        <v>181.0</v>
      </c>
      <c r="H12" s="31">
        <v>71.2</v>
      </c>
      <c r="I12" s="34">
        <f t="shared" si="2"/>
        <v>21.73315833</v>
      </c>
      <c r="J12" s="35">
        <v>228.0</v>
      </c>
      <c r="K12" s="35">
        <v>231.0</v>
      </c>
      <c r="L12" s="35">
        <v>244.0</v>
      </c>
      <c r="M12" s="36">
        <f t="shared" si="3"/>
        <v>244</v>
      </c>
      <c r="N12" s="37">
        <v>1.32</v>
      </c>
      <c r="O12" s="37">
        <v>2.31</v>
      </c>
      <c r="P12" s="37">
        <v>4.66</v>
      </c>
      <c r="Q12" s="37">
        <v>1.2</v>
      </c>
      <c r="R12" s="37">
        <v>2.06</v>
      </c>
      <c r="S12" s="37">
        <v>5.05</v>
      </c>
      <c r="T12" s="38">
        <f t="shared" ref="T12:V12" si="15">IF(COUNT(N12,Q12)=0,"",MIN(N12,Q12))</f>
        <v>1.2</v>
      </c>
      <c r="U12" s="38">
        <f t="shared" si="15"/>
        <v>2.06</v>
      </c>
      <c r="V12" s="38">
        <f t="shared" si="15"/>
        <v>4.66</v>
      </c>
      <c r="W12" s="38">
        <f t="shared" si="5"/>
        <v>2.35</v>
      </c>
      <c r="X12" s="37">
        <v>1.98</v>
      </c>
      <c r="Y12" s="37">
        <v>2.0</v>
      </c>
      <c r="Z12" s="38">
        <f t="shared" si="6"/>
        <v>1.98</v>
      </c>
      <c r="AA12" s="37">
        <v>2.57</v>
      </c>
      <c r="AB12" s="37">
        <v>2.3</v>
      </c>
      <c r="AC12" s="38">
        <f t="shared" si="7"/>
        <v>2.3</v>
      </c>
      <c r="AD12" s="40">
        <f t="shared" si="8"/>
        <v>0.1616161616</v>
      </c>
      <c r="AE12" s="42">
        <v>5.31</v>
      </c>
      <c r="AF12" s="42">
        <v>4.47</v>
      </c>
      <c r="AG12" s="42">
        <v>4.87</v>
      </c>
      <c r="AH12" s="42">
        <v>4.47</v>
      </c>
      <c r="AI12" s="42">
        <v>4.84</v>
      </c>
      <c r="AJ12" s="42">
        <v>4.85</v>
      </c>
      <c r="AK12" s="38">
        <f t="shared" si="9"/>
        <v>4.47</v>
      </c>
      <c r="AL12" s="38">
        <f t="shared" si="10"/>
        <v>4.801666667</v>
      </c>
      <c r="AM12" s="40">
        <f t="shared" si="11"/>
        <v>0.07419835943</v>
      </c>
      <c r="AN12" s="35">
        <v>680.0</v>
      </c>
      <c r="AO12" s="29">
        <v>34.0</v>
      </c>
      <c r="AP12" s="35">
        <v>44.0</v>
      </c>
      <c r="AQ12" s="35">
        <v>100.0</v>
      </c>
      <c r="AR12" s="45"/>
      <c r="AS12" s="45"/>
      <c r="AT12" s="46"/>
    </row>
    <row r="13" ht="21.75" customHeight="1">
      <c r="A13" s="28">
        <v>7.0</v>
      </c>
      <c r="B13" s="29" t="s">
        <v>148</v>
      </c>
      <c r="C13" s="29">
        <v>10.0</v>
      </c>
      <c r="D13" s="29" t="s">
        <v>149</v>
      </c>
      <c r="E13" s="29" t="s">
        <v>150</v>
      </c>
      <c r="F13" s="29" t="s">
        <v>138</v>
      </c>
      <c r="G13" s="31">
        <v>180.0</v>
      </c>
      <c r="H13" s="31">
        <v>73.8</v>
      </c>
      <c r="I13" s="34">
        <f t="shared" si="2"/>
        <v>22.77777778</v>
      </c>
      <c r="J13" s="35">
        <v>173.0</v>
      </c>
      <c r="K13" s="35">
        <v>175.0</v>
      </c>
      <c r="L13" s="35">
        <v>182.0</v>
      </c>
      <c r="M13" s="36">
        <f t="shared" si="3"/>
        <v>182</v>
      </c>
      <c r="N13" s="37">
        <v>1.36</v>
      </c>
      <c r="O13" s="37">
        <v>2.46</v>
      </c>
      <c r="P13" s="37">
        <v>5.44</v>
      </c>
      <c r="Q13" s="37">
        <v>1.31</v>
      </c>
      <c r="R13" s="37">
        <v>2.12</v>
      </c>
      <c r="S13" s="37">
        <v>5.19</v>
      </c>
      <c r="T13" s="38">
        <f t="shared" ref="T13:V13" si="16">IF(COUNT(N13,Q13)=0,"",MIN(N13,Q13))</f>
        <v>1.31</v>
      </c>
      <c r="U13" s="38">
        <f t="shared" si="16"/>
        <v>2.12</v>
      </c>
      <c r="V13" s="38">
        <f t="shared" si="16"/>
        <v>5.19</v>
      </c>
      <c r="W13" s="38">
        <f t="shared" si="5"/>
        <v>2.98</v>
      </c>
      <c r="X13" s="37">
        <v>2.84</v>
      </c>
      <c r="Y13" s="37">
        <v>2.85</v>
      </c>
      <c r="Z13" s="38">
        <f t="shared" si="6"/>
        <v>2.84</v>
      </c>
      <c r="AA13" s="37">
        <v>3.16</v>
      </c>
      <c r="AB13" s="37">
        <v>2.89</v>
      </c>
      <c r="AC13" s="38">
        <f t="shared" si="7"/>
        <v>2.89</v>
      </c>
      <c r="AD13" s="40">
        <f t="shared" si="8"/>
        <v>0.0176056338</v>
      </c>
      <c r="AE13" s="42">
        <v>5.16</v>
      </c>
      <c r="AF13" s="42">
        <v>5.38</v>
      </c>
      <c r="AG13" s="42">
        <v>5.18</v>
      </c>
      <c r="AH13" s="42">
        <v>5.31</v>
      </c>
      <c r="AI13" s="42">
        <v>5.75</v>
      </c>
      <c r="AJ13" s="42">
        <v>4.95</v>
      </c>
      <c r="AK13" s="38">
        <f t="shared" si="9"/>
        <v>4.95</v>
      </c>
      <c r="AL13" s="38">
        <f t="shared" si="10"/>
        <v>5.288333333</v>
      </c>
      <c r="AM13" s="40">
        <f t="shared" si="11"/>
        <v>0.06835016835</v>
      </c>
      <c r="AN13" s="35">
        <v>360.0</v>
      </c>
      <c r="AO13" s="29">
        <v>18.0</v>
      </c>
      <c r="AP13" s="35">
        <v>14.0</v>
      </c>
      <c r="AQ13" s="35">
        <v>86.0</v>
      </c>
      <c r="AR13" s="45"/>
      <c r="AS13" s="45"/>
      <c r="AT13" s="46"/>
    </row>
    <row r="14" ht="21.75" customHeight="1">
      <c r="A14" s="28">
        <v>8.0</v>
      </c>
      <c r="B14" s="29" t="s">
        <v>151</v>
      </c>
      <c r="C14" s="29">
        <v>9.0</v>
      </c>
      <c r="D14" s="29" t="s">
        <v>152</v>
      </c>
      <c r="E14" s="29" t="s">
        <v>137</v>
      </c>
      <c r="F14" s="29" t="s">
        <v>138</v>
      </c>
      <c r="G14" s="31">
        <v>174.0</v>
      </c>
      <c r="H14" s="31">
        <v>75.1</v>
      </c>
      <c r="I14" s="34">
        <f t="shared" si="2"/>
        <v>24.80512617</v>
      </c>
      <c r="J14" s="35">
        <v>206.0</v>
      </c>
      <c r="K14" s="35">
        <v>212.0</v>
      </c>
      <c r="L14" s="35">
        <v>210.0</v>
      </c>
      <c r="M14" s="36">
        <f t="shared" si="3"/>
        <v>212</v>
      </c>
      <c r="N14" s="37">
        <v>0.98</v>
      </c>
      <c r="O14" s="37">
        <v>2.2</v>
      </c>
      <c r="P14" s="37">
        <v>4.25</v>
      </c>
      <c r="Q14" s="37">
        <v>1.25</v>
      </c>
      <c r="R14" s="37">
        <v>2.08</v>
      </c>
      <c r="S14" s="37">
        <v>5.19</v>
      </c>
      <c r="T14" s="38">
        <f t="shared" ref="T14:V14" si="17">IF(COUNT(N14,Q14)=0,"",MIN(N14,Q14))</f>
        <v>0.98</v>
      </c>
      <c r="U14" s="38">
        <f t="shared" si="17"/>
        <v>2.08</v>
      </c>
      <c r="V14" s="38">
        <f t="shared" si="17"/>
        <v>4.25</v>
      </c>
      <c r="W14" s="38">
        <f t="shared" si="5"/>
        <v>2.05</v>
      </c>
      <c r="X14" s="37">
        <v>2.6</v>
      </c>
      <c r="Y14" s="37">
        <v>2.7</v>
      </c>
      <c r="Z14" s="38">
        <f t="shared" si="6"/>
        <v>2.6</v>
      </c>
      <c r="AA14" s="37">
        <v>2.97</v>
      </c>
      <c r="AB14" s="37">
        <v>3.0</v>
      </c>
      <c r="AC14" s="38">
        <f t="shared" si="7"/>
        <v>2.97</v>
      </c>
      <c r="AD14" s="40">
        <f t="shared" si="8"/>
        <v>0.1423076923</v>
      </c>
      <c r="AE14" s="42">
        <v>5.31</v>
      </c>
      <c r="AF14" s="42">
        <v>4.91</v>
      </c>
      <c r="AG14" s="42">
        <v>5.15</v>
      </c>
      <c r="AH14" s="42">
        <v>4.84</v>
      </c>
      <c r="AI14" s="42">
        <v>5.13</v>
      </c>
      <c r="AJ14" s="42">
        <v>5.25</v>
      </c>
      <c r="AK14" s="38">
        <f t="shared" si="9"/>
        <v>4.84</v>
      </c>
      <c r="AL14" s="38">
        <f t="shared" si="10"/>
        <v>5.098333333</v>
      </c>
      <c r="AM14" s="40">
        <f t="shared" si="11"/>
        <v>0.05337465565</v>
      </c>
      <c r="AN14" s="35">
        <v>360.0</v>
      </c>
      <c r="AO14" s="29">
        <v>18.0</v>
      </c>
      <c r="AP14" s="35">
        <v>18.0</v>
      </c>
      <c r="AQ14" s="35">
        <v>60.0</v>
      </c>
      <c r="AR14" s="45"/>
      <c r="AS14" s="45"/>
      <c r="AT14" s="46"/>
    </row>
    <row r="15" ht="21.75" customHeight="1">
      <c r="A15" s="28">
        <v>9.0</v>
      </c>
      <c r="B15" s="29" t="s">
        <v>153</v>
      </c>
      <c r="C15" s="29">
        <v>2.0</v>
      </c>
      <c r="D15" s="29" t="s">
        <v>140</v>
      </c>
      <c r="E15" s="29" t="s">
        <v>137</v>
      </c>
      <c r="F15" s="29" t="s">
        <v>138</v>
      </c>
      <c r="G15" s="31">
        <v>152.0</v>
      </c>
      <c r="H15" s="31">
        <v>47.8</v>
      </c>
      <c r="I15" s="34">
        <f t="shared" si="2"/>
        <v>20.68905817</v>
      </c>
      <c r="J15" s="35">
        <v>119.0</v>
      </c>
      <c r="K15" s="35">
        <v>115.0</v>
      </c>
      <c r="L15" s="35">
        <v>112.0</v>
      </c>
      <c r="M15" s="36">
        <f t="shared" si="3"/>
        <v>119</v>
      </c>
      <c r="N15" s="37">
        <v>1.46</v>
      </c>
      <c r="O15" s="37">
        <v>2.53</v>
      </c>
      <c r="P15" s="37">
        <v>6.0</v>
      </c>
      <c r="Q15" s="37">
        <v>1.5</v>
      </c>
      <c r="R15" s="37">
        <v>2.76</v>
      </c>
      <c r="S15" s="37">
        <v>5.91</v>
      </c>
      <c r="T15" s="38">
        <f t="shared" ref="T15:V15" si="18">IF(COUNT(N15,Q15)=0,"",MIN(N15,Q15))</f>
        <v>1.46</v>
      </c>
      <c r="U15" s="38">
        <f t="shared" si="18"/>
        <v>2.53</v>
      </c>
      <c r="V15" s="38">
        <f t="shared" si="18"/>
        <v>5.91</v>
      </c>
      <c r="W15" s="38">
        <f t="shared" si="5"/>
        <v>3.15</v>
      </c>
      <c r="X15" s="37">
        <v>3.03</v>
      </c>
      <c r="Y15" s="37">
        <v>3.03</v>
      </c>
      <c r="Z15" s="38">
        <f t="shared" si="6"/>
        <v>3.03</v>
      </c>
      <c r="AA15" s="37">
        <v>3.33</v>
      </c>
      <c r="AB15" s="37">
        <v>3.2</v>
      </c>
      <c r="AC15" s="38">
        <f t="shared" si="7"/>
        <v>3.2</v>
      </c>
      <c r="AD15" s="40">
        <f t="shared" si="8"/>
        <v>0.05610561056</v>
      </c>
      <c r="AE15" s="42">
        <v>6.35</v>
      </c>
      <c r="AF15" s="42">
        <v>5.97</v>
      </c>
      <c r="AG15" s="42">
        <v>5.72</v>
      </c>
      <c r="AH15" s="42">
        <v>6.04</v>
      </c>
      <c r="AI15" s="42">
        <v>6.32</v>
      </c>
      <c r="AJ15" s="42">
        <v>6.03</v>
      </c>
      <c r="AK15" s="38">
        <f t="shared" si="9"/>
        <v>5.72</v>
      </c>
      <c r="AL15" s="38">
        <f t="shared" si="10"/>
        <v>6.071666667</v>
      </c>
      <c r="AM15" s="40">
        <f t="shared" si="11"/>
        <v>0.06148018648</v>
      </c>
      <c r="AN15" s="35">
        <v>240.0</v>
      </c>
      <c r="AO15" s="29">
        <v>12.0</v>
      </c>
      <c r="AP15" s="35">
        <v>15.0</v>
      </c>
      <c r="AQ15" s="35">
        <v>60.0</v>
      </c>
      <c r="AR15" s="45"/>
      <c r="AS15" s="45"/>
      <c r="AT15" s="46"/>
    </row>
    <row r="16" ht="21.75" customHeight="1">
      <c r="A16" s="28">
        <v>10.0</v>
      </c>
      <c r="B16" s="29" t="s">
        <v>154</v>
      </c>
      <c r="C16" s="29">
        <v>88.0</v>
      </c>
      <c r="D16" s="29" t="s">
        <v>140</v>
      </c>
      <c r="E16" s="29" t="s">
        <v>150</v>
      </c>
      <c r="F16" s="29" t="s">
        <v>138</v>
      </c>
      <c r="G16" s="31">
        <v>166.0</v>
      </c>
      <c r="H16" s="31">
        <v>50.5</v>
      </c>
      <c r="I16" s="34">
        <f t="shared" si="2"/>
        <v>18.32631732</v>
      </c>
      <c r="J16" s="35">
        <v>194.0</v>
      </c>
      <c r="K16" s="35">
        <v>201.0</v>
      </c>
      <c r="L16" s="35">
        <v>208.0</v>
      </c>
      <c r="M16" s="36">
        <f t="shared" si="3"/>
        <v>208</v>
      </c>
      <c r="N16" s="37">
        <v>1.29</v>
      </c>
      <c r="O16" s="37">
        <v>2.31</v>
      </c>
      <c r="P16" s="37">
        <v>5.28</v>
      </c>
      <c r="Q16" s="37">
        <v>1.46</v>
      </c>
      <c r="R16" s="37">
        <v>2.37</v>
      </c>
      <c r="S16" s="37">
        <v>5.09</v>
      </c>
      <c r="T16" s="38">
        <f t="shared" ref="T16:V16" si="19">IF(COUNT(N16,Q16)=0,"",MIN(N16,Q16))</f>
        <v>1.29</v>
      </c>
      <c r="U16" s="38">
        <f t="shared" si="19"/>
        <v>2.31</v>
      </c>
      <c r="V16" s="38">
        <f t="shared" si="19"/>
        <v>5.09</v>
      </c>
      <c r="W16" s="38">
        <f t="shared" si="5"/>
        <v>2.72</v>
      </c>
      <c r="X16" s="37">
        <v>2.83</v>
      </c>
      <c r="Y16" s="37">
        <v>2.73</v>
      </c>
      <c r="Z16" s="38">
        <f t="shared" si="6"/>
        <v>2.73</v>
      </c>
      <c r="AA16" s="37">
        <v>2.68</v>
      </c>
      <c r="AB16" s="37">
        <v>2.77</v>
      </c>
      <c r="AC16" s="38">
        <f t="shared" si="7"/>
        <v>2.68</v>
      </c>
      <c r="AD16" s="40">
        <f t="shared" si="8"/>
        <v>0.01865671642</v>
      </c>
      <c r="AE16" s="42">
        <v>5.28</v>
      </c>
      <c r="AF16" s="42">
        <v>4.53</v>
      </c>
      <c r="AG16" s="42">
        <v>4.84</v>
      </c>
      <c r="AH16" s="42">
        <v>4.88</v>
      </c>
      <c r="AI16" s="42">
        <v>4.9</v>
      </c>
      <c r="AJ16" s="42">
        <v>4.29</v>
      </c>
      <c r="AK16" s="38">
        <f t="shared" si="9"/>
        <v>4.29</v>
      </c>
      <c r="AL16" s="38">
        <f t="shared" si="10"/>
        <v>4.786666667</v>
      </c>
      <c r="AM16" s="40">
        <f t="shared" si="11"/>
        <v>0.1157731158</v>
      </c>
      <c r="AN16" s="35">
        <v>400.0</v>
      </c>
      <c r="AO16" s="29">
        <v>20.0</v>
      </c>
      <c r="AP16" s="35">
        <v>24.0</v>
      </c>
      <c r="AQ16" s="35">
        <v>67.0</v>
      </c>
      <c r="AR16" s="45"/>
      <c r="AS16" s="45"/>
      <c r="AT16" s="46"/>
    </row>
    <row r="17" ht="21.75" customHeight="1">
      <c r="A17" s="28">
        <v>11.0</v>
      </c>
      <c r="B17" s="29" t="s">
        <v>155</v>
      </c>
      <c r="C17" s="29">
        <v>3.0</v>
      </c>
      <c r="D17" s="29" t="s">
        <v>142</v>
      </c>
      <c r="E17" s="29" t="s">
        <v>137</v>
      </c>
      <c r="F17" s="29" t="s">
        <v>138</v>
      </c>
      <c r="G17" s="31">
        <v>183.0</v>
      </c>
      <c r="H17" s="31">
        <v>71.7</v>
      </c>
      <c r="I17" s="34">
        <f t="shared" si="2"/>
        <v>21.41001523</v>
      </c>
      <c r="J17" s="35">
        <v>157.0</v>
      </c>
      <c r="K17" s="35">
        <v>177.0</v>
      </c>
      <c r="L17" s="35">
        <v>173.0</v>
      </c>
      <c r="M17" s="36">
        <f t="shared" si="3"/>
        <v>177</v>
      </c>
      <c r="N17" s="37">
        <v>1.66</v>
      </c>
      <c r="O17" s="37">
        <v>2.7</v>
      </c>
      <c r="P17" s="37">
        <v>5.5</v>
      </c>
      <c r="Q17" s="37">
        <v>1.76</v>
      </c>
      <c r="R17" s="37">
        <v>2.58</v>
      </c>
      <c r="S17" s="37">
        <v>5.87</v>
      </c>
      <c r="T17" s="38">
        <f t="shared" ref="T17:V17" si="20">IF(COUNT(N17,Q17)=0,"",MIN(N17,Q17))</f>
        <v>1.66</v>
      </c>
      <c r="U17" s="38">
        <f t="shared" si="20"/>
        <v>2.58</v>
      </c>
      <c r="V17" s="38">
        <f t="shared" si="20"/>
        <v>5.5</v>
      </c>
      <c r="W17" s="38">
        <f t="shared" si="5"/>
        <v>2.8</v>
      </c>
      <c r="X17" s="37">
        <v>3.18</v>
      </c>
      <c r="Y17" s="37">
        <v>2.92</v>
      </c>
      <c r="Z17" s="38">
        <f t="shared" si="6"/>
        <v>2.92</v>
      </c>
      <c r="AA17" s="37">
        <v>3.03</v>
      </c>
      <c r="AB17" s="37">
        <v>3.5</v>
      </c>
      <c r="AC17" s="38">
        <f t="shared" si="7"/>
        <v>3.03</v>
      </c>
      <c r="AD17" s="40">
        <f t="shared" si="8"/>
        <v>0.03767123288</v>
      </c>
      <c r="AE17" s="42">
        <v>6.0</v>
      </c>
      <c r="AF17" s="42">
        <v>5.4</v>
      </c>
      <c r="AG17" s="42">
        <v>6.0</v>
      </c>
      <c r="AH17" s="42">
        <v>5.47</v>
      </c>
      <c r="AI17" s="42">
        <v>6.0</v>
      </c>
      <c r="AJ17" s="42">
        <v>5.1</v>
      </c>
      <c r="AK17" s="38">
        <f t="shared" si="9"/>
        <v>5.1</v>
      </c>
      <c r="AL17" s="38">
        <f t="shared" si="10"/>
        <v>5.661666667</v>
      </c>
      <c r="AM17" s="40">
        <f t="shared" si="11"/>
        <v>0.110130719</v>
      </c>
      <c r="AN17" s="35">
        <v>400.0</v>
      </c>
      <c r="AO17" s="29">
        <v>20.0</v>
      </c>
      <c r="AP17" s="35">
        <v>17.0</v>
      </c>
      <c r="AQ17" s="35">
        <v>65.0</v>
      </c>
      <c r="AR17" s="45"/>
      <c r="AS17" s="45"/>
      <c r="AT17" s="46"/>
    </row>
    <row r="18" ht="21.75" customHeight="1">
      <c r="A18" s="28">
        <v>12.0</v>
      </c>
      <c r="B18" s="29" t="s">
        <v>156</v>
      </c>
      <c r="C18" s="29">
        <v>17.0</v>
      </c>
      <c r="D18" s="29" t="s">
        <v>140</v>
      </c>
      <c r="E18" s="29" t="s">
        <v>137</v>
      </c>
      <c r="F18" s="29" t="s">
        <v>138</v>
      </c>
      <c r="G18" s="31">
        <v>183.0</v>
      </c>
      <c r="H18" s="31">
        <v>58.5</v>
      </c>
      <c r="I18" s="34">
        <f t="shared" si="2"/>
        <v>17.46842247</v>
      </c>
      <c r="J18" s="35">
        <v>194.0</v>
      </c>
      <c r="K18" s="35">
        <v>216.0</v>
      </c>
      <c r="L18" s="35">
        <v>204.0</v>
      </c>
      <c r="M18" s="36">
        <f t="shared" si="3"/>
        <v>216</v>
      </c>
      <c r="N18" s="37">
        <v>1.25</v>
      </c>
      <c r="O18" s="37">
        <v>2.4</v>
      </c>
      <c r="P18" s="37">
        <v>5.32</v>
      </c>
      <c r="Q18" s="37">
        <v>1.3</v>
      </c>
      <c r="R18" s="37">
        <v>2.08</v>
      </c>
      <c r="S18" s="37">
        <v>4.78</v>
      </c>
      <c r="T18" s="38">
        <f t="shared" ref="T18:V18" si="21">IF(COUNT(N18,Q18)=0,"",MIN(N18,Q18))</f>
        <v>1.25</v>
      </c>
      <c r="U18" s="38">
        <f t="shared" si="21"/>
        <v>2.08</v>
      </c>
      <c r="V18" s="38">
        <f t="shared" si="21"/>
        <v>4.78</v>
      </c>
      <c r="W18" s="38">
        <f t="shared" si="5"/>
        <v>2.7</v>
      </c>
      <c r="X18" s="37">
        <v>2.76</v>
      </c>
      <c r="Y18" s="37">
        <v>2.8</v>
      </c>
      <c r="Z18" s="38">
        <f t="shared" si="6"/>
        <v>2.76</v>
      </c>
      <c r="AA18" s="37">
        <v>2.75</v>
      </c>
      <c r="AB18" s="37">
        <v>2.78</v>
      </c>
      <c r="AC18" s="38">
        <f t="shared" si="7"/>
        <v>2.75</v>
      </c>
      <c r="AD18" s="40">
        <f t="shared" si="8"/>
        <v>0.003636363636</v>
      </c>
      <c r="AE18" s="42">
        <v>5.22</v>
      </c>
      <c r="AF18" s="42">
        <v>4.65</v>
      </c>
      <c r="AG18" s="42">
        <v>5.22</v>
      </c>
      <c r="AH18" s="42">
        <v>4.81</v>
      </c>
      <c r="AI18" s="42">
        <v>5.15</v>
      </c>
      <c r="AJ18" s="42">
        <v>4.91</v>
      </c>
      <c r="AK18" s="38">
        <f t="shared" si="9"/>
        <v>4.65</v>
      </c>
      <c r="AL18" s="38">
        <f t="shared" si="10"/>
        <v>4.993333333</v>
      </c>
      <c r="AM18" s="40">
        <f t="shared" si="11"/>
        <v>0.07383512545</v>
      </c>
      <c r="AN18" s="35">
        <v>320.0</v>
      </c>
      <c r="AO18" s="29">
        <v>16.0</v>
      </c>
      <c r="AP18" s="35">
        <v>11.0</v>
      </c>
      <c r="AQ18" s="35">
        <v>47.0</v>
      </c>
      <c r="AR18" s="45"/>
      <c r="AS18" s="45"/>
      <c r="AT18" s="46"/>
    </row>
    <row r="19" ht="21.75" customHeight="1">
      <c r="A19" s="28">
        <v>13.0</v>
      </c>
      <c r="B19" s="29" t="s">
        <v>157</v>
      </c>
      <c r="C19" s="29">
        <v>73.0</v>
      </c>
      <c r="D19" s="29" t="s">
        <v>145</v>
      </c>
      <c r="E19" s="29" t="s">
        <v>137</v>
      </c>
      <c r="F19" s="29" t="s">
        <v>138</v>
      </c>
      <c r="G19" s="31">
        <v>166.0</v>
      </c>
      <c r="H19" s="31">
        <v>56.9</v>
      </c>
      <c r="I19" s="34">
        <f t="shared" si="2"/>
        <v>20.6488605</v>
      </c>
      <c r="J19" s="35">
        <v>152.0</v>
      </c>
      <c r="K19" s="35">
        <v>157.0</v>
      </c>
      <c r="L19" s="35">
        <v>157.0</v>
      </c>
      <c r="M19" s="36">
        <f t="shared" si="3"/>
        <v>157</v>
      </c>
      <c r="N19" s="37">
        <v>1.53</v>
      </c>
      <c r="O19" s="37">
        <v>2.4</v>
      </c>
      <c r="P19" s="37">
        <v>6.13</v>
      </c>
      <c r="Q19" s="37">
        <v>1.5</v>
      </c>
      <c r="R19" s="37">
        <v>2.61</v>
      </c>
      <c r="S19" s="37">
        <v>5.53</v>
      </c>
      <c r="T19" s="38">
        <f t="shared" ref="T19:V19" si="22">IF(COUNT(N19,Q19)=0,"",MIN(N19,Q19))</f>
        <v>1.5</v>
      </c>
      <c r="U19" s="38">
        <f t="shared" si="22"/>
        <v>2.4</v>
      </c>
      <c r="V19" s="38">
        <f t="shared" si="22"/>
        <v>5.53</v>
      </c>
      <c r="W19" s="38">
        <f t="shared" si="5"/>
        <v>2.92</v>
      </c>
      <c r="X19" s="37">
        <v>3.02</v>
      </c>
      <c r="Y19" s="37">
        <v>2.94</v>
      </c>
      <c r="Z19" s="38">
        <f t="shared" si="6"/>
        <v>2.94</v>
      </c>
      <c r="AA19" s="37">
        <v>2.96</v>
      </c>
      <c r="AB19" s="37">
        <v>3.12</v>
      </c>
      <c r="AC19" s="38">
        <f t="shared" si="7"/>
        <v>2.96</v>
      </c>
      <c r="AD19" s="40">
        <f t="shared" si="8"/>
        <v>0.006802721088</v>
      </c>
      <c r="AE19" s="42">
        <v>5.25</v>
      </c>
      <c r="AF19" s="42">
        <v>5.32</v>
      </c>
      <c r="AG19" s="42">
        <v>5.75</v>
      </c>
      <c r="AH19" s="42">
        <v>5.97</v>
      </c>
      <c r="AI19" s="42">
        <v>5.84</v>
      </c>
      <c r="AJ19" s="42">
        <v>5.38</v>
      </c>
      <c r="AK19" s="38">
        <f t="shared" si="9"/>
        <v>5.25</v>
      </c>
      <c r="AL19" s="38">
        <f t="shared" si="10"/>
        <v>5.585</v>
      </c>
      <c r="AM19" s="40">
        <f t="shared" si="11"/>
        <v>0.06380952381</v>
      </c>
      <c r="AN19" s="35">
        <v>320.0</v>
      </c>
      <c r="AO19" s="29">
        <v>16.0</v>
      </c>
      <c r="AP19" s="35">
        <v>12.0</v>
      </c>
      <c r="AQ19" s="35">
        <v>60.0</v>
      </c>
      <c r="AR19" s="45"/>
      <c r="AS19" s="45"/>
      <c r="AT19" s="46"/>
    </row>
    <row r="20" ht="21.75" customHeight="1">
      <c r="A20" s="28">
        <v>14.0</v>
      </c>
      <c r="B20" s="29" t="s">
        <v>158</v>
      </c>
      <c r="C20" s="29">
        <v>77.0</v>
      </c>
      <c r="D20" s="29" t="s">
        <v>142</v>
      </c>
      <c r="E20" s="29" t="s">
        <v>150</v>
      </c>
      <c r="F20" s="29" t="s">
        <v>138</v>
      </c>
      <c r="G20" s="31">
        <v>177.0</v>
      </c>
      <c r="H20" s="31">
        <v>55.2</v>
      </c>
      <c r="I20" s="34">
        <f t="shared" si="2"/>
        <v>17.61945801</v>
      </c>
      <c r="J20" s="35">
        <v>218.0</v>
      </c>
      <c r="K20" s="35">
        <v>221.0</v>
      </c>
      <c r="L20" s="35">
        <v>227.0</v>
      </c>
      <c r="M20" s="36">
        <f t="shared" si="3"/>
        <v>227</v>
      </c>
      <c r="N20" s="37">
        <v>1.3</v>
      </c>
      <c r="O20" s="37">
        <v>2.2</v>
      </c>
      <c r="P20" s="37">
        <v>4.88</v>
      </c>
      <c r="Q20" s="37">
        <v>1.31</v>
      </c>
      <c r="R20" s="37">
        <v>2.41</v>
      </c>
      <c r="S20" s="37">
        <v>4.94</v>
      </c>
      <c r="T20" s="38">
        <f t="shared" ref="T20:V20" si="23">IF(COUNT(N20,Q20)=0,"",MIN(N20,Q20))</f>
        <v>1.3</v>
      </c>
      <c r="U20" s="38">
        <f t="shared" si="23"/>
        <v>2.2</v>
      </c>
      <c r="V20" s="38">
        <f t="shared" si="23"/>
        <v>4.88</v>
      </c>
      <c r="W20" s="38">
        <f t="shared" si="5"/>
        <v>2.53</v>
      </c>
      <c r="X20" s="37">
        <v>2.65</v>
      </c>
      <c r="Y20" s="37">
        <v>2.72</v>
      </c>
      <c r="Z20" s="38">
        <f t="shared" si="6"/>
        <v>2.65</v>
      </c>
      <c r="AA20" s="37">
        <v>2.85</v>
      </c>
      <c r="AB20" s="37">
        <v>2.87</v>
      </c>
      <c r="AC20" s="38">
        <f t="shared" si="7"/>
        <v>2.85</v>
      </c>
      <c r="AD20" s="40">
        <f t="shared" si="8"/>
        <v>0.07547169811</v>
      </c>
      <c r="AE20" s="42">
        <v>5.78</v>
      </c>
      <c r="AF20" s="42">
        <v>4.22</v>
      </c>
      <c r="AG20" s="42">
        <v>4.53</v>
      </c>
      <c r="AH20" s="42">
        <v>4.28</v>
      </c>
      <c r="AI20" s="42">
        <v>5.78</v>
      </c>
      <c r="AJ20" s="42">
        <v>5.06</v>
      </c>
      <c r="AK20" s="38">
        <f t="shared" si="9"/>
        <v>4.22</v>
      </c>
      <c r="AL20" s="38">
        <f t="shared" si="10"/>
        <v>4.941666667</v>
      </c>
      <c r="AM20" s="40">
        <f t="shared" si="11"/>
        <v>0.1710110585</v>
      </c>
      <c r="AN20" s="35">
        <v>380.0</v>
      </c>
      <c r="AO20" s="29">
        <v>19.0</v>
      </c>
      <c r="AP20" s="35">
        <v>20.0</v>
      </c>
      <c r="AQ20" s="35">
        <v>75.0</v>
      </c>
      <c r="AR20" s="45"/>
      <c r="AS20" s="45"/>
      <c r="AT20" s="46"/>
    </row>
    <row r="21" ht="21.75" customHeight="1">
      <c r="A21" s="28">
        <v>15.0</v>
      </c>
      <c r="B21" s="29" t="s">
        <v>159</v>
      </c>
      <c r="C21" s="29">
        <v>8.0</v>
      </c>
      <c r="D21" s="29" t="s">
        <v>149</v>
      </c>
      <c r="E21" s="29" t="s">
        <v>137</v>
      </c>
      <c r="F21" s="29" t="s">
        <v>138</v>
      </c>
      <c r="G21" s="31">
        <v>174.0</v>
      </c>
      <c r="H21" s="31">
        <v>71.6</v>
      </c>
      <c r="I21" s="34">
        <f t="shared" si="2"/>
        <v>23.64909499</v>
      </c>
      <c r="J21" s="35">
        <v>208.0</v>
      </c>
      <c r="K21" s="35">
        <v>236.0</v>
      </c>
      <c r="L21" s="35">
        <v>244.0</v>
      </c>
      <c r="M21" s="36">
        <f t="shared" si="3"/>
        <v>244</v>
      </c>
      <c r="N21" s="37">
        <v>1.41</v>
      </c>
      <c r="O21" s="37">
        <v>2.26</v>
      </c>
      <c r="P21" s="37">
        <v>4.81</v>
      </c>
      <c r="Q21" s="37">
        <v>1.23</v>
      </c>
      <c r="R21" s="37">
        <v>2.21</v>
      </c>
      <c r="S21" s="37">
        <v>4.88</v>
      </c>
      <c r="T21" s="38">
        <f t="shared" ref="T21:V21" si="24">IF(COUNT(N21,Q21)=0,"",MIN(N21,Q21))</f>
        <v>1.23</v>
      </c>
      <c r="U21" s="38">
        <f t="shared" si="24"/>
        <v>2.21</v>
      </c>
      <c r="V21" s="38">
        <f t="shared" si="24"/>
        <v>4.81</v>
      </c>
      <c r="W21" s="38">
        <f t="shared" si="5"/>
        <v>2.55</v>
      </c>
      <c r="X21" s="37">
        <v>2.83</v>
      </c>
      <c r="Y21" s="37">
        <v>2.8</v>
      </c>
      <c r="Z21" s="38">
        <f t="shared" si="6"/>
        <v>2.8</v>
      </c>
      <c r="AA21" s="37">
        <v>2.75</v>
      </c>
      <c r="AB21" s="37">
        <v>2.86</v>
      </c>
      <c r="AC21" s="38">
        <f t="shared" si="7"/>
        <v>2.75</v>
      </c>
      <c r="AD21" s="40">
        <f t="shared" si="8"/>
        <v>0.01818181818</v>
      </c>
      <c r="AE21" s="42">
        <v>5.18</v>
      </c>
      <c r="AF21" s="42">
        <v>4.54</v>
      </c>
      <c r="AG21" s="42">
        <v>4.84</v>
      </c>
      <c r="AH21" s="42">
        <v>4.78</v>
      </c>
      <c r="AI21" s="42">
        <v>5.41</v>
      </c>
      <c r="AJ21" s="42">
        <v>4.72</v>
      </c>
      <c r="AK21" s="38">
        <f t="shared" si="9"/>
        <v>4.54</v>
      </c>
      <c r="AL21" s="38">
        <f t="shared" si="10"/>
        <v>4.911666667</v>
      </c>
      <c r="AM21" s="40">
        <f t="shared" si="11"/>
        <v>0.08186490455</v>
      </c>
      <c r="AN21" s="35">
        <v>280.0</v>
      </c>
      <c r="AO21" s="29">
        <v>14.0</v>
      </c>
      <c r="AP21" s="35">
        <v>14.0</v>
      </c>
      <c r="AQ21" s="35">
        <v>148.0</v>
      </c>
      <c r="AR21" s="45"/>
      <c r="AS21" s="45"/>
      <c r="AT21" s="46"/>
    </row>
    <row r="22" ht="21.75" customHeight="1">
      <c r="A22" s="28">
        <v>16.0</v>
      </c>
      <c r="B22" s="29" t="s">
        <v>160</v>
      </c>
      <c r="C22" s="29">
        <v>99.0</v>
      </c>
      <c r="D22" s="29" t="s">
        <v>136</v>
      </c>
      <c r="E22" s="29" t="s">
        <v>137</v>
      </c>
      <c r="F22" s="29" t="s">
        <v>138</v>
      </c>
      <c r="G22" s="31">
        <v>176.0</v>
      </c>
      <c r="H22" s="31">
        <v>93.8</v>
      </c>
      <c r="I22" s="34">
        <f t="shared" si="2"/>
        <v>30.28150826</v>
      </c>
      <c r="J22" s="35">
        <v>151.0</v>
      </c>
      <c r="K22" s="35">
        <v>133.0</v>
      </c>
      <c r="L22" s="35">
        <v>138.0</v>
      </c>
      <c r="M22" s="36">
        <f t="shared" si="3"/>
        <v>151</v>
      </c>
      <c r="N22" s="37">
        <v>1.7</v>
      </c>
      <c r="O22" s="37">
        <v>2.78</v>
      </c>
      <c r="P22" s="37">
        <v>6.38</v>
      </c>
      <c r="Q22" s="37">
        <v>1.8</v>
      </c>
      <c r="R22" s="37">
        <v>2.95</v>
      </c>
      <c r="S22" s="37">
        <v>7.0</v>
      </c>
      <c r="T22" s="38">
        <f t="shared" ref="T22:V22" si="25">IF(COUNT(N22,Q22)=0,"",MIN(N22,Q22))</f>
        <v>1.7</v>
      </c>
      <c r="U22" s="38">
        <f t="shared" si="25"/>
        <v>2.78</v>
      </c>
      <c r="V22" s="38">
        <f t="shared" si="25"/>
        <v>6.38</v>
      </c>
      <c r="W22" s="38">
        <f t="shared" si="5"/>
        <v>3.6</v>
      </c>
      <c r="X22" s="37">
        <v>3.71</v>
      </c>
      <c r="Y22" s="37">
        <v>3.56</v>
      </c>
      <c r="Z22" s="38">
        <f t="shared" si="6"/>
        <v>3.56</v>
      </c>
      <c r="AA22" s="37">
        <v>3.03</v>
      </c>
      <c r="AB22" s="37">
        <v>3.45</v>
      </c>
      <c r="AC22" s="38">
        <f t="shared" si="7"/>
        <v>3.03</v>
      </c>
      <c r="AD22" s="40">
        <f t="shared" si="8"/>
        <v>0.1749174917</v>
      </c>
      <c r="AE22" s="42">
        <v>6.88</v>
      </c>
      <c r="AF22" s="42">
        <v>6.44</v>
      </c>
      <c r="AG22" s="42">
        <v>7.0</v>
      </c>
      <c r="AH22" s="42">
        <v>7.06</v>
      </c>
      <c r="AI22" s="42">
        <v>7.41</v>
      </c>
      <c r="AJ22" s="42">
        <v>6.97</v>
      </c>
      <c r="AK22" s="38">
        <f t="shared" si="9"/>
        <v>6.44</v>
      </c>
      <c r="AL22" s="38">
        <f t="shared" si="10"/>
        <v>6.96</v>
      </c>
      <c r="AM22" s="40">
        <f t="shared" si="11"/>
        <v>0.08074534161</v>
      </c>
      <c r="AN22" s="35">
        <v>160.0</v>
      </c>
      <c r="AO22" s="29">
        <v>8.0</v>
      </c>
      <c r="AP22" s="35">
        <v>15.0</v>
      </c>
      <c r="AQ22" s="35">
        <v>60.0</v>
      </c>
      <c r="AR22" s="45"/>
      <c r="AS22" s="45"/>
      <c r="AT22" s="46"/>
    </row>
    <row r="23" ht="21.75" customHeight="1">
      <c r="A23" s="28">
        <v>17.0</v>
      </c>
      <c r="B23" s="45"/>
      <c r="C23" s="45"/>
      <c r="D23" s="45"/>
      <c r="E23" s="45"/>
      <c r="F23" s="45"/>
      <c r="G23" s="53"/>
      <c r="H23" s="53"/>
      <c r="I23" s="34" t="str">
        <f t="shared" si="2"/>
        <v/>
      </c>
      <c r="J23" s="54"/>
      <c r="K23" s="54"/>
      <c r="L23" s="54"/>
      <c r="M23" s="36" t="str">
        <f t="shared" si="3"/>
        <v/>
      </c>
      <c r="N23" s="55"/>
      <c r="O23" s="55"/>
      <c r="P23" s="55"/>
      <c r="Q23" s="55"/>
      <c r="R23" s="55"/>
      <c r="S23" s="55"/>
      <c r="T23" s="38" t="str">
        <f t="shared" ref="T23:V23" si="26">IF(COUNT(N23,Q23)=0,"",MIN(N23,Q23))</f>
        <v/>
      </c>
      <c r="U23" s="38" t="str">
        <f t="shared" si="26"/>
        <v/>
      </c>
      <c r="V23" s="38" t="str">
        <f t="shared" si="26"/>
        <v/>
      </c>
      <c r="W23" s="38" t="str">
        <f t="shared" si="5"/>
        <v/>
      </c>
      <c r="X23" s="55"/>
      <c r="Y23" s="55"/>
      <c r="Z23" s="38" t="str">
        <f t="shared" si="6"/>
        <v/>
      </c>
      <c r="AA23" s="55"/>
      <c r="AB23" s="55"/>
      <c r="AC23" s="38" t="str">
        <f t="shared" si="7"/>
        <v/>
      </c>
      <c r="AD23" s="40" t="str">
        <f t="shared" si="8"/>
        <v/>
      </c>
      <c r="AE23" s="38"/>
      <c r="AF23" s="38"/>
      <c r="AG23" s="38"/>
      <c r="AH23" s="38"/>
      <c r="AI23" s="38"/>
      <c r="AJ23" s="38"/>
      <c r="AK23" s="38" t="str">
        <f t="shared" si="9"/>
        <v/>
      </c>
      <c r="AL23" s="38" t="str">
        <f t="shared" si="10"/>
        <v/>
      </c>
      <c r="AM23" s="40" t="str">
        <f t="shared" si="11"/>
        <v/>
      </c>
      <c r="AN23" s="54"/>
      <c r="AO23" s="45"/>
      <c r="AP23" s="54"/>
      <c r="AQ23" s="54"/>
      <c r="AR23" s="45"/>
      <c r="AS23" s="45"/>
      <c r="AT23" s="46"/>
    </row>
    <row r="24" ht="21.75" customHeight="1">
      <c r="A24" s="28">
        <v>18.0</v>
      </c>
      <c r="B24" s="45"/>
      <c r="C24" s="45"/>
      <c r="D24" s="45"/>
      <c r="E24" s="45"/>
      <c r="F24" s="45"/>
      <c r="G24" s="53"/>
      <c r="H24" s="53"/>
      <c r="I24" s="34" t="str">
        <f t="shared" si="2"/>
        <v/>
      </c>
      <c r="J24" s="54"/>
      <c r="K24" s="54"/>
      <c r="L24" s="54"/>
      <c r="M24" s="36" t="str">
        <f t="shared" si="3"/>
        <v/>
      </c>
      <c r="N24" s="55"/>
      <c r="O24" s="55"/>
      <c r="P24" s="55"/>
      <c r="Q24" s="55"/>
      <c r="R24" s="55"/>
      <c r="S24" s="55"/>
      <c r="T24" s="38" t="str">
        <f t="shared" ref="T24:V24" si="27">IF(COUNT(N24,Q24)=0,"",MIN(N24,Q24))</f>
        <v/>
      </c>
      <c r="U24" s="38" t="str">
        <f t="shared" si="27"/>
        <v/>
      </c>
      <c r="V24" s="38" t="str">
        <f t="shared" si="27"/>
        <v/>
      </c>
      <c r="W24" s="38" t="str">
        <f t="shared" si="5"/>
        <v/>
      </c>
      <c r="X24" s="55"/>
      <c r="Y24" s="55"/>
      <c r="Z24" s="38" t="str">
        <f t="shared" si="6"/>
        <v/>
      </c>
      <c r="AA24" s="55"/>
      <c r="AB24" s="55"/>
      <c r="AC24" s="38" t="str">
        <f t="shared" si="7"/>
        <v/>
      </c>
      <c r="AD24" s="40" t="str">
        <f t="shared" si="8"/>
        <v/>
      </c>
      <c r="AE24" s="38"/>
      <c r="AF24" s="38"/>
      <c r="AG24" s="38"/>
      <c r="AH24" s="38"/>
      <c r="AI24" s="38"/>
      <c r="AJ24" s="38"/>
      <c r="AK24" s="38" t="str">
        <f t="shared" si="9"/>
        <v/>
      </c>
      <c r="AL24" s="38" t="str">
        <f t="shared" si="10"/>
        <v/>
      </c>
      <c r="AM24" s="40" t="str">
        <f t="shared" si="11"/>
        <v/>
      </c>
      <c r="AN24" s="54"/>
      <c r="AO24" s="45"/>
      <c r="AP24" s="54"/>
      <c r="AQ24" s="54"/>
      <c r="AR24" s="45"/>
      <c r="AS24" s="45"/>
      <c r="AT24" s="46"/>
    </row>
    <row r="25" ht="21.75" customHeight="1">
      <c r="A25" s="28">
        <v>19.0</v>
      </c>
      <c r="B25" s="45"/>
      <c r="C25" s="45"/>
      <c r="D25" s="45"/>
      <c r="E25" s="45"/>
      <c r="F25" s="45"/>
      <c r="G25" s="53"/>
      <c r="H25" s="53"/>
      <c r="I25" s="34" t="str">
        <f t="shared" si="2"/>
        <v/>
      </c>
      <c r="J25" s="54"/>
      <c r="K25" s="54"/>
      <c r="L25" s="54"/>
      <c r="M25" s="36" t="str">
        <f t="shared" si="3"/>
        <v/>
      </c>
      <c r="N25" s="55"/>
      <c r="O25" s="55"/>
      <c r="P25" s="55"/>
      <c r="Q25" s="55"/>
      <c r="R25" s="55"/>
      <c r="S25" s="55"/>
      <c r="T25" s="38" t="str">
        <f t="shared" ref="T25:V25" si="28">IF(COUNT(N25,Q25)=0,"",MIN(N25,Q25))</f>
        <v/>
      </c>
      <c r="U25" s="38" t="str">
        <f t="shared" si="28"/>
        <v/>
      </c>
      <c r="V25" s="38" t="str">
        <f t="shared" si="28"/>
        <v/>
      </c>
      <c r="W25" s="38" t="str">
        <f t="shared" si="5"/>
        <v/>
      </c>
      <c r="X25" s="55"/>
      <c r="Y25" s="55"/>
      <c r="Z25" s="38" t="str">
        <f t="shared" si="6"/>
        <v/>
      </c>
      <c r="AA25" s="55"/>
      <c r="AB25" s="55"/>
      <c r="AC25" s="38" t="str">
        <f t="shared" si="7"/>
        <v/>
      </c>
      <c r="AD25" s="40" t="str">
        <f t="shared" si="8"/>
        <v/>
      </c>
      <c r="AE25" s="38"/>
      <c r="AF25" s="38"/>
      <c r="AG25" s="38"/>
      <c r="AH25" s="38"/>
      <c r="AI25" s="38"/>
      <c r="AJ25" s="38"/>
      <c r="AK25" s="38" t="str">
        <f t="shared" si="9"/>
        <v/>
      </c>
      <c r="AL25" s="38" t="str">
        <f t="shared" si="10"/>
        <v/>
      </c>
      <c r="AM25" s="40" t="str">
        <f t="shared" si="11"/>
        <v/>
      </c>
      <c r="AN25" s="54"/>
      <c r="AO25" s="45"/>
      <c r="AP25" s="54"/>
      <c r="AQ25" s="54"/>
      <c r="AR25" s="45"/>
      <c r="AS25" s="45"/>
      <c r="AT25" s="46"/>
    </row>
    <row r="26" ht="21.75" customHeight="1">
      <c r="A26" s="28">
        <v>20.0</v>
      </c>
      <c r="B26" s="45"/>
      <c r="C26" s="45"/>
      <c r="D26" s="45"/>
      <c r="E26" s="45"/>
      <c r="F26" s="45"/>
      <c r="G26" s="53"/>
      <c r="H26" s="53"/>
      <c r="I26" s="34" t="str">
        <f t="shared" si="2"/>
        <v/>
      </c>
      <c r="J26" s="54"/>
      <c r="K26" s="54"/>
      <c r="L26" s="54"/>
      <c r="M26" s="36" t="str">
        <f t="shared" si="3"/>
        <v/>
      </c>
      <c r="N26" s="55"/>
      <c r="O26" s="55"/>
      <c r="P26" s="55"/>
      <c r="Q26" s="55"/>
      <c r="R26" s="55"/>
      <c r="S26" s="55"/>
      <c r="T26" s="38" t="str">
        <f t="shared" ref="T26:V26" si="29">IF(COUNT(N26,Q26)=0,"",MIN(N26,Q26))</f>
        <v/>
      </c>
      <c r="U26" s="38" t="str">
        <f t="shared" si="29"/>
        <v/>
      </c>
      <c r="V26" s="38" t="str">
        <f t="shared" si="29"/>
        <v/>
      </c>
      <c r="W26" s="38" t="str">
        <f t="shared" si="5"/>
        <v/>
      </c>
      <c r="X26" s="55"/>
      <c r="Y26" s="55"/>
      <c r="Z26" s="38" t="str">
        <f t="shared" si="6"/>
        <v/>
      </c>
      <c r="AA26" s="55"/>
      <c r="AB26" s="55"/>
      <c r="AC26" s="38" t="str">
        <f t="shared" si="7"/>
        <v/>
      </c>
      <c r="AD26" s="40" t="str">
        <f t="shared" si="8"/>
        <v/>
      </c>
      <c r="AE26" s="38"/>
      <c r="AF26" s="38"/>
      <c r="AG26" s="38"/>
      <c r="AH26" s="38"/>
      <c r="AI26" s="38"/>
      <c r="AJ26" s="38"/>
      <c r="AK26" s="38" t="str">
        <f t="shared" si="9"/>
        <v/>
      </c>
      <c r="AL26" s="38" t="str">
        <f t="shared" si="10"/>
        <v/>
      </c>
      <c r="AM26" s="40" t="str">
        <f t="shared" si="11"/>
        <v/>
      </c>
      <c r="AN26" s="54"/>
      <c r="AO26" s="45"/>
      <c r="AP26" s="54"/>
      <c r="AQ26" s="54"/>
      <c r="AR26" s="45"/>
      <c r="AS26" s="45"/>
      <c r="AT26" s="46"/>
    </row>
    <row r="27" ht="21.75" customHeight="1">
      <c r="A27" s="56">
        <v>21.0</v>
      </c>
      <c r="B27" s="57"/>
      <c r="C27" s="57"/>
      <c r="D27" s="57"/>
      <c r="E27" s="57"/>
      <c r="F27" s="57"/>
      <c r="G27" s="58"/>
      <c r="H27" s="58"/>
      <c r="I27" s="59" t="str">
        <f t="shared" si="2"/>
        <v/>
      </c>
      <c r="J27" s="60"/>
      <c r="K27" s="60"/>
      <c r="L27" s="60"/>
      <c r="M27" s="61" t="str">
        <f t="shared" si="3"/>
        <v/>
      </c>
      <c r="N27" s="62"/>
      <c r="O27" s="62"/>
      <c r="P27" s="62"/>
      <c r="Q27" s="62"/>
      <c r="R27" s="62"/>
      <c r="S27" s="62"/>
      <c r="T27" s="63" t="str">
        <f t="shared" ref="T27:V27" si="30">IF(COUNT(N27,Q27)=0,"",MIN(N27,Q27))</f>
        <v/>
      </c>
      <c r="U27" s="63" t="str">
        <f t="shared" si="30"/>
        <v/>
      </c>
      <c r="V27" s="63" t="str">
        <f t="shared" si="30"/>
        <v/>
      </c>
      <c r="W27" s="63" t="str">
        <f t="shared" si="5"/>
        <v/>
      </c>
      <c r="X27" s="62"/>
      <c r="Y27" s="62"/>
      <c r="Z27" s="63" t="str">
        <f t="shared" si="6"/>
        <v/>
      </c>
      <c r="AA27" s="62"/>
      <c r="AB27" s="62"/>
      <c r="AC27" s="63" t="str">
        <f t="shared" si="7"/>
        <v/>
      </c>
      <c r="AD27" s="64" t="str">
        <f t="shared" si="8"/>
        <v/>
      </c>
      <c r="AE27" s="63"/>
      <c r="AF27" s="63"/>
      <c r="AG27" s="63"/>
      <c r="AH27" s="63"/>
      <c r="AI27" s="63"/>
      <c r="AJ27" s="63"/>
      <c r="AK27" s="63" t="str">
        <f t="shared" si="9"/>
        <v/>
      </c>
      <c r="AL27" s="63" t="str">
        <f t="shared" si="10"/>
        <v/>
      </c>
      <c r="AM27" s="64" t="str">
        <f t="shared" si="11"/>
        <v/>
      </c>
      <c r="AN27" s="60"/>
      <c r="AO27" s="57"/>
      <c r="AP27" s="60"/>
      <c r="AQ27" s="60"/>
      <c r="AR27" s="57"/>
      <c r="AS27" s="57"/>
      <c r="AT27" s="65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7:F27">
    <cfRule type="containsText" dxfId="0" priority="1" operator="containsText" text="Não realizou">
      <formula>NOT(ISERROR(SEARCH(("Não realizou"),(F7))))</formula>
    </cfRule>
  </conditionalFormatting>
  <conditionalFormatting sqref="F7:F27">
    <cfRule type="containsText" dxfId="1" priority="2" operator="containsText" text="Limitado">
      <formula>NOT(ISERROR(SEARCH(("Limitado"),(F7))))</formula>
    </cfRule>
  </conditionalFormatting>
  <conditionalFormatting sqref="AD7:AD27">
    <cfRule type="cellIs" dxfId="0" priority="3" operator="greaterThan">
      <formula>0.1</formula>
    </cfRule>
  </conditionalFormatting>
  <conditionalFormatting sqref="AM7:AM27">
    <cfRule type="cellIs" dxfId="0" priority="4" operator="greaterThan">
      <formula>0.05</formula>
    </cfRule>
  </conditionalFormatting>
  <dataValidations>
    <dataValidation type="list" allowBlank="1" sqref="AS7:AS27">
      <formula1>"GR,DC,Ala,MDC/MC,Extremo/SA,PL,A definir"</formula1>
    </dataValidation>
    <dataValidation type="list" allowBlank="1" sqref="E7:E27">
      <formula1>"Direito,Esquerdo,Ambidestro"</formula1>
    </dataValidation>
    <dataValidation type="list" allowBlank="1" sqref="F7:F27">
      <formula1>"Apto,Limitado,Não realizou"</formula1>
    </dataValidation>
    <dataValidation type="decimal" allowBlank="1" sqref="AR7:AR27">
      <formula1>0.0</formula1>
      <formula2>10.0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FA8DC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1" width="23.0"/>
    <col customWidth="1" min="2" max="3" width="14.0"/>
    <col customWidth="1" min="4" max="4" width="39.0"/>
    <col customWidth="1" min="5" max="6" width="17.0"/>
    <col customWidth="1" min="7" max="7" width="12.0"/>
    <col customWidth="1" min="8" max="8" width="43.0"/>
    <col customWidth="1" min="9" max="26" width="8.63"/>
  </cols>
  <sheetData>
    <row r="2" ht="24.75" customHeight="1">
      <c r="A2" s="1" t="s">
        <v>0</v>
      </c>
      <c r="B2" s="2"/>
      <c r="C2" s="2"/>
      <c r="D2" s="2"/>
      <c r="E2" s="2"/>
      <c r="F2" s="2"/>
      <c r="G2" s="2"/>
      <c r="H2" s="2"/>
    </row>
    <row r="4">
      <c r="A4" s="3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  <c r="G4" s="3" t="s">
        <v>9</v>
      </c>
      <c r="H4" s="3" t="s">
        <v>10</v>
      </c>
    </row>
    <row r="5" ht="43.5" customHeight="1">
      <c r="A5" s="4" t="s">
        <v>11</v>
      </c>
      <c r="B5" s="5">
        <v>1.0</v>
      </c>
      <c r="C5" s="5">
        <v>2.0</v>
      </c>
      <c r="D5" s="4" t="s">
        <v>12</v>
      </c>
      <c r="E5" s="4" t="s">
        <v>13</v>
      </c>
      <c r="F5" s="4" t="s">
        <v>14</v>
      </c>
      <c r="G5" s="4" t="s">
        <v>15</v>
      </c>
      <c r="H5" s="4" t="s">
        <v>16</v>
      </c>
    </row>
    <row r="6" ht="43.5" customHeight="1">
      <c r="A6" s="6" t="s">
        <v>17</v>
      </c>
      <c r="B6" s="7">
        <v>2.0</v>
      </c>
      <c r="C6" s="7">
        <v>2.0</v>
      </c>
      <c r="D6" s="6" t="s">
        <v>19</v>
      </c>
      <c r="E6" s="6" t="s">
        <v>20</v>
      </c>
      <c r="F6" s="6" t="s">
        <v>21</v>
      </c>
      <c r="G6" s="6" t="s">
        <v>22</v>
      </c>
      <c r="H6" s="6" t="s">
        <v>23</v>
      </c>
    </row>
    <row r="7" ht="43.5" customHeight="1">
      <c r="A7" s="6" t="s">
        <v>24</v>
      </c>
      <c r="B7" s="7">
        <v>4.0</v>
      </c>
      <c r="C7" s="7">
        <v>6.0</v>
      </c>
      <c r="D7" s="6" t="s">
        <v>25</v>
      </c>
      <c r="E7" s="6" t="s">
        <v>26</v>
      </c>
      <c r="F7" s="6" t="s">
        <v>27</v>
      </c>
      <c r="G7" s="6" t="s">
        <v>28</v>
      </c>
      <c r="H7" s="6" t="s">
        <v>29</v>
      </c>
    </row>
    <row r="8" ht="43.5" customHeight="1">
      <c r="A8" s="6" t="s">
        <v>31</v>
      </c>
      <c r="B8" s="7">
        <v>2.0</v>
      </c>
      <c r="C8" s="7">
        <v>3.0</v>
      </c>
      <c r="D8" s="6" t="s">
        <v>33</v>
      </c>
      <c r="E8" s="6" t="s">
        <v>34</v>
      </c>
      <c r="F8" s="6" t="s">
        <v>35</v>
      </c>
      <c r="G8" s="6" t="s">
        <v>28</v>
      </c>
      <c r="H8" s="6" t="s">
        <v>37</v>
      </c>
    </row>
    <row r="9" ht="43.5" customHeight="1">
      <c r="A9" s="6" t="s">
        <v>39</v>
      </c>
      <c r="B9" s="7">
        <v>3.0</v>
      </c>
      <c r="C9" s="7">
        <v>4.0</v>
      </c>
      <c r="D9" s="6" t="s">
        <v>42</v>
      </c>
      <c r="E9" s="6" t="s">
        <v>44</v>
      </c>
      <c r="F9" s="6" t="s">
        <v>45</v>
      </c>
      <c r="G9" s="6" t="s">
        <v>28</v>
      </c>
      <c r="H9" s="6" t="s">
        <v>48</v>
      </c>
    </row>
    <row r="10" ht="43.5" customHeight="1">
      <c r="A10" s="6" t="s">
        <v>52</v>
      </c>
      <c r="B10" s="7">
        <v>3.0</v>
      </c>
      <c r="C10" s="7">
        <v>4.0</v>
      </c>
      <c r="D10" s="6" t="s">
        <v>55</v>
      </c>
      <c r="E10" s="6" t="s">
        <v>57</v>
      </c>
      <c r="F10" s="6" t="s">
        <v>59</v>
      </c>
      <c r="G10" s="6" t="s">
        <v>60</v>
      </c>
      <c r="H10" s="6" t="s">
        <v>62</v>
      </c>
    </row>
    <row r="11" ht="43.5" customHeight="1">
      <c r="A11" s="13" t="s">
        <v>66</v>
      </c>
      <c r="B11" s="14">
        <v>2.0</v>
      </c>
      <c r="C11" s="14">
        <v>2.0</v>
      </c>
      <c r="D11" s="13" t="s">
        <v>73</v>
      </c>
      <c r="E11" s="13" t="s">
        <v>57</v>
      </c>
      <c r="F11" s="13" t="s">
        <v>74</v>
      </c>
      <c r="G11" s="13" t="s">
        <v>75</v>
      </c>
      <c r="H11" s="13" t="s">
        <v>76</v>
      </c>
    </row>
    <row r="14" ht="30.0" customHeight="1">
      <c r="A14" s="3" t="s">
        <v>77</v>
      </c>
      <c r="B14" s="3" t="s">
        <v>78</v>
      </c>
      <c r="C14" s="3" t="s">
        <v>79</v>
      </c>
      <c r="D14" s="3" t="s">
        <v>80</v>
      </c>
      <c r="E14" s="17"/>
      <c r="F14" s="17"/>
      <c r="G14" s="17"/>
      <c r="H14" s="17"/>
    </row>
    <row r="15" ht="48.0" customHeight="1">
      <c r="A15" s="19" t="s">
        <v>84</v>
      </c>
      <c r="B15" s="19">
        <v>4.0</v>
      </c>
      <c r="C15" s="19" t="s">
        <v>87</v>
      </c>
      <c r="D15" s="19" t="s">
        <v>89</v>
      </c>
      <c r="E15" s="19"/>
      <c r="F15" s="19"/>
      <c r="G15" s="19"/>
      <c r="H15" s="19"/>
    </row>
    <row r="16" ht="48.0" customHeight="1">
      <c r="A16" s="20" t="s">
        <v>91</v>
      </c>
      <c r="B16" s="20">
        <v>6.0</v>
      </c>
      <c r="C16" s="20" t="s">
        <v>94</v>
      </c>
      <c r="D16" s="20" t="s">
        <v>95</v>
      </c>
      <c r="E16" s="20"/>
      <c r="F16" s="20"/>
      <c r="G16" s="20"/>
      <c r="H16" s="20"/>
    </row>
    <row r="17" ht="48.0" customHeight="1">
      <c r="A17" s="23" t="s">
        <v>96</v>
      </c>
      <c r="B17" s="23">
        <v>9.0</v>
      </c>
      <c r="C17" s="23" t="s">
        <v>97</v>
      </c>
      <c r="D17" s="23" t="s">
        <v>98</v>
      </c>
      <c r="E17" s="23"/>
      <c r="F17" s="23"/>
      <c r="G17" s="23"/>
      <c r="H17" s="23"/>
    </row>
    <row r="20">
      <c r="A20" s="25" t="s">
        <v>101</v>
      </c>
    </row>
    <row r="21" ht="15.75" customHeight="1">
      <c r="A21" s="26" t="s">
        <v>110</v>
      </c>
    </row>
    <row r="22" ht="15.75" customHeight="1">
      <c r="A22" s="27" t="s">
        <v>121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